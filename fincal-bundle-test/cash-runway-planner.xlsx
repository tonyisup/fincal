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Inputs" sheetId="2" r:id="rId2"/>
    <sheet name="Recurring Income" sheetId="3" r:id="rId3"/>
    <sheet name="Recurring Expenses" sheetId="4" r:id="rId4"/>
    <sheet name="One-Off Adjustments" sheetId="5" r:id="rId5"/>
    <sheet name="Forecast Timeline" sheetId="6" r:id="rId6"/>
    <sheet name="Dashboard" sheetId="7" r:id="rId7"/>
    <sheet name="Scenario Base" sheetId="8" r:id="rId8"/>
    <sheet name="Scenario Conservative" sheetId="9" r:id="rId9"/>
    <sheet name="Scenario Optimistic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mmm yyyy"/>
    <numFmt numFmtId="61" formatCode="$0.00"/>
    <numFmt numFmtId="62" formatCode="mmm d,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110.83203125" customWidth="1"/>
  </cols>
  <sheetData>
    <row r="1">
      <c r="A1" t="str">
        <v>Cash Runway Planner for Excel</v>
      </c>
    </row>
    <row r="2">
      <c r="A2" t="str">
        <v/>
      </c>
    </row>
    <row r="3">
      <c r="A3" t="str">
        <v>Who this is for</v>
      </c>
    </row>
    <row r="4">
      <c r="A4" t="str">
        <v>Freelancers and solo business owners who need a manual way to plan cash runway before things get tight.</v>
      </c>
    </row>
    <row r="5">
      <c r="A5" t="str">
        <v/>
      </c>
    </row>
    <row r="6">
      <c r="A6" t="str">
        <v>How to use this workbook</v>
      </c>
    </row>
    <row r="7">
      <c r="A7" t="str">
        <v>1. Update the Inputs sheet with your starting cash, forecast start month, number of months, and warning threshold.</v>
      </c>
    </row>
    <row r="8">
      <c r="A8" t="str">
        <v>2. Add recurring income items and recurring expenses with their cadence and active date range.</v>
      </c>
    </row>
    <row r="9">
      <c r="A9" t="str">
        <v>3. Add one-off adjustments such as tax bills, equipment purchases, or large invoices.</v>
      </c>
    </row>
    <row r="10">
      <c r="A10" t="str">
        <v>4. Review Forecast Timeline for the month-by-month projection and Dashboard for the lowest balance view.</v>
      </c>
    </row>
    <row r="11">
      <c r="A11" t="str">
        <v>5. Use the Scenario sheets to compare base, conservative, and optimistic assumptions.</v>
      </c>
    </row>
    <row r="12">
      <c r="A12" t="str">
        <v/>
      </c>
    </row>
    <row r="13">
      <c r="A13" t="str">
        <v>Notes</v>
      </c>
    </row>
    <row r="14">
      <c r="A14" t="str">
        <v>This workbook is a manual planning tool. It does not import transactions, detect recurring rules, or sync with Google Calendar.</v>
      </c>
    </row>
    <row r="15">
      <c r="A15" t="str">
        <v>Use FinCal when you want those workflows automated.</v>
      </c>
    </row>
  </sheetData>
  <ignoredErrors>
    <ignoredError numberStoredAsText="1" sqref="A1:A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4.83203125" customWidth="1"/>
    <col min="2" max="2" width="18.83203125" customWidth="1"/>
    <col min="3" max="3" width="70.83203125" customWidth="1"/>
  </cols>
  <sheetData>
    <row r="1">
      <c r="A1" t="str">
        <v>Setting</v>
      </c>
      <c r="B1" t="str">
        <v>Value</v>
      </c>
      <c r="C1" t="str">
        <v>Notes</v>
      </c>
    </row>
    <row r="2">
      <c r="A2" t="str">
        <v>Starting cash</v>
      </c>
      <c r="B2">
        <v>8500</v>
      </c>
      <c r="C2" t="str">
        <v>The cash balance you have available today.</v>
      </c>
    </row>
    <row r="3">
      <c r="A3" t="str">
        <v>Forecast start month</v>
      </c>
      <c r="B3" s="1">
        <v>46112.708333333336</v>
      </c>
      <c r="C3" t="str">
        <v>Use the first day of the month you want to start from.</v>
      </c>
    </row>
    <row r="4">
      <c r="A4" t="str">
        <v>Months to forecast</v>
      </c>
      <c r="B4">
        <v>12</v>
      </c>
      <c r="C4" t="str">
        <v>Recommended: 6 to 12 months.</v>
      </c>
    </row>
    <row r="5">
      <c r="A5" t="str">
        <v>Warning threshold</v>
      </c>
      <c r="B5">
        <v>2000</v>
      </c>
      <c r="C5" t="str">
        <v>Balances below this amount are flagged on the timeline.</v>
      </c>
    </row>
    <row r="6">
      <c r="A6" t="str">
        <v/>
      </c>
    </row>
    <row r="7">
      <c r="A7" t="str">
        <v>Example niche</v>
      </c>
      <c r="B7" t="str">
        <v>Solo service business</v>
      </c>
      <c r="C7" t="str">
        <v>The starter assumptions fit a freelancer or small agency.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26.83203125" customWidth="1"/>
    <col min="2" max="2" width="20.83203125" customWidth="1"/>
    <col min="3" max="3" width="18.83203125" customWidth="1"/>
    <col min="4" max="4" width="15.83203125" customWidth="1"/>
    <col min="5" max="5" width="15.83203125" customWidth="1"/>
    <col min="6" max="6" width="18.83203125" customWidth="1"/>
  </cols>
  <sheetData>
    <row r="1">
      <c r="A1" t="str">
        <v>Description</v>
      </c>
      <c r="B1" t="str">
        <v>Amount per occurrence</v>
      </c>
      <c r="C1" t="str">
        <v>Cadence</v>
      </c>
      <c r="D1" t="str">
        <v>Starts on</v>
      </c>
      <c r="E1" t="str">
        <v>Ends on</v>
      </c>
      <c r="F1" t="str">
        <v>Monthly impact</v>
      </c>
    </row>
    <row r="2">
      <c r="A2" t="str">
        <v>Retainer client</v>
      </c>
      <c r="B2">
        <v>3500</v>
      </c>
      <c r="C2" t="str">
        <v>Monthly</v>
      </c>
      <c r="D2" s="1">
        <v>46112.708333333336</v>
      </c>
      <c r="E2" s="1" t="str">
        <v/>
      </c>
      <c r="F2" s="2">
        <f>B2</f>
      </c>
    </row>
    <row r="3">
      <c r="A3" t="str">
        <v>Maintenance client</v>
      </c>
      <c r="B3">
        <v>1200</v>
      </c>
      <c r="C3" t="str">
        <v>Twice Monthly</v>
      </c>
      <c r="D3" s="1">
        <v>46112.708333333336</v>
      </c>
      <c r="E3" s="1" t="str">
        <v/>
      </c>
      <c r="F3" s="2">
        <f>B3*2</f>
      </c>
    </row>
    <row r="4">
      <c r="A4" t="str">
        <v>Project milestone</v>
      </c>
      <c r="B4">
        <v>2000</v>
      </c>
      <c r="C4" t="str">
        <v>Quarterly</v>
      </c>
      <c r="D4" s="1">
        <v>46142.708333333336</v>
      </c>
      <c r="E4" s="1" t="str">
        <v/>
      </c>
      <c r="F4" s="2">
        <f>B4*0.333</f>
      </c>
    </row>
    <row r="5">
      <c r="A5" t="str">
        <v/>
      </c>
      <c r="B5" t="str">
        <v/>
      </c>
      <c r="C5" t="str">
        <v/>
      </c>
      <c r="D5" s="1" t="str">
        <v/>
      </c>
      <c r="E5" s="1" t="str">
        <v/>
      </c>
      <c r="F5" s="2">
        <f>IF(A2="","",B2*IF(C2="Monthly",1,IF(C2="Twice Monthly",2,IF(C2="Weekly",4.333,IF(C2="Biweekly",2.167,IF(C2="Quarterly",0.333,IF(C2="Yearly",0.0833,1)))))))</f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s="2">
        <f>IF(A3="","",B3*IF(C3="Monthly",1,IF(C3="Twice Monthly",2,IF(C3="Weekly",4.333,IF(C3="Biweekly",2.167,IF(C3="Quarterly",0.333,IF(C3="Yearly",0.0833,1)))))))</f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s="2">
        <f>IF(A4="","",B4*IF(C4="Monthly",1,IF(C4="Twice Monthly",2,IF(C4="Weekly",4.333,IF(C4="Biweekly",2.167,IF(C4="Quarterly",0.333,IF(C4="Yearly",0.0833,1)))))))</f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s="2">
        <f>IF(A5="","",B5*IF(C5="Monthly",1,IF(C5="Twice Monthly",2,IF(C5="Weekly",4.333,IF(C5="Biweekly",2.167,IF(C5="Quarterly",0.333,IF(C5="Yearly",0.0833,1)))))))</f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s="2">
        <f>IF(A6="","",B6*IF(C6="Monthly",1,IF(C6="Twice Monthly",2,IF(C6="Weekly",4.333,IF(C6="Biweekly",2.167,IF(C6="Quarterly",0.333,IF(C6="Yearly",0.0833,1)))))))</f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s="2">
        <f>IF(A7="","",B7*IF(C7="Monthly",1,IF(C7="Twice Monthly",2,IF(C7="Weekly",4.333,IF(C7="Biweekly",2.167,IF(C7="Quarterly",0.333,IF(C7="Yearly",0.0833,1)))))))</f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s="2">
        <f>IF(A8="","",B8*IF(C8="Monthly",1,IF(C8="Twice Monthly",2,IF(C8="Weekly",4.333,IF(C8="Biweekly",2.167,IF(C8="Quarterly",0.333,IF(C8="Yearly",0.0833,1)))))))</f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s="2">
        <f>IF(A9="","",B9*IF(C9="Monthly",1,IF(C9="Twice Monthly",2,IF(C9="Weekly",4.333,IF(C9="Biweekly",2.167,IF(C9="Quarterly",0.333,IF(C9="Yearly",0.0833,1)))))))</f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s="2">
        <f>IF(A10="","",B10*IF(C10="Monthly",1,IF(C10="Twice Monthly",2,IF(C10="Weekly",4.333,IF(C10="Biweekly",2.167,IF(C10="Quarterly",0.333,IF(C10="Yearly",0.0833,1)))))))</f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s="2">
        <f>IF(A11="","",B11*IF(C11="Monthly",1,IF(C11="Twice Monthly",2,IF(C11="Weekly",4.333,IF(C11="Biweekly",2.167,IF(C11="Quarterly",0.333,IF(C11="Yearly",0.0833,1)))))))</f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s="2">
        <f>IF(A12="","",B12*IF(C12="Monthly",1,IF(C12="Twice Monthly",2,IF(C12="Weekly",4.333,IF(C12="Biweekly",2.167,IF(C12="Quarterly",0.333,IF(C12="Yearly",0.0833,1)))))))</f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s="2">
        <f>IF(A13="","",B13*IF(C13="Monthly",1,IF(C13="Twice Monthly",2,IF(C13="Weekly",4.333,IF(C13="Biweekly",2.167,IF(C13="Quarterly",0.333,IF(C13="Yearly",0.0833,1)))))))</f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s="2">
        <f>IF(A14="","",B14*IF(C14="Monthly",1,IF(C14="Twice Monthly",2,IF(C14="Weekly",4.333,IF(C14="Biweekly",2.167,IF(C14="Quarterly",0.333,IF(C14="Yearly",0.0833,1)))))))</f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s="2">
        <f>IF(A15="","",B15*IF(C15="Monthly",1,IF(C15="Twice Monthly",2,IF(C15="Weekly",4.333,IF(C15="Biweekly",2.167,IF(C15="Quarterly",0.333,IF(C15="Yearly",0.0833,1)))))))</f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s="2">
        <f>IF(A16="","",B16*IF(C16="Monthly",1,IF(C16="Twice Monthly",2,IF(C16="Weekly",4.333,IF(C16="Biweekly",2.167,IF(C16="Quarterly",0.333,IF(C16="Yearly",0.0833,1)))))))</f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s="2">
        <f>IF(A17="","",B17*IF(C17="Monthly",1,IF(C17="Twice Monthly",2,IF(C17="Weekly",4.333,IF(C17="Biweekly",2.167,IF(C17="Quarterly",0.333,IF(C17="Yearly",0.0833,1)))))))</f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s="2">
        <f>IF(A18="","",B18*IF(C18="Monthly",1,IF(C18="Twice Monthly",2,IF(C18="Weekly",4.333,IF(C18="Biweekly",2.167,IF(C18="Quarterly",0.333,IF(C18="Yearly",0.0833,1)))))))</f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s="2">
        <f>IF(A19="","",B19*IF(C19="Monthly",1,IF(C19="Twice Monthly",2,IF(C19="Weekly",4.333,IF(C19="Biweekly",2.167,IF(C19="Quarterly",0.333,IF(C19="Yearly",0.0833,1)))))))</f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s="2">
        <f>IF(A20="","",B20*IF(C20="Monthly",1,IF(C20="Twice Monthly",2,IF(C20="Weekly",4.333,IF(C20="Biweekly",2.167,IF(C20="Quarterly",0.333,IF(C20="Yearly",0.0833,1)))))))</f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s="2">
        <f>IF(A21="","",B21*IF(C21="Monthly",1,IF(C21="Twice Monthly",2,IF(C21="Weekly",4.333,IF(C21="Biweekly",2.167,IF(C21="Quarterly",0.333,IF(C21="Yearly",0.0833,1)))))))</f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s="2">
        <f>IF(A22="","",B22*IF(C22="Monthly",1,IF(C22="Twice Monthly",2,IF(C22="Weekly",4.333,IF(C22="Biweekly",2.167,IF(C22="Quarterly",0.333,IF(C22="Yearly",0.0833,1)))))))</f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s="2">
        <f>IF(A23="","",B23*IF(C23="Monthly",1,IF(C23="Twice Monthly",2,IF(C23="Weekly",4.333,IF(C23="Biweekly",2.167,IF(C23="Quarterly",0.333,IF(C23="Yearly",0.0833,1)))))))</f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s="2">
        <f>IF(A24="","",B24*IF(C24="Monthly",1,IF(C24="Twice Monthly",2,IF(C24="Weekly",4.333,IF(C24="Biweekly",2.167,IF(C24="Quarterly",0.333,IF(C24="Yearly",0.0833,1)))))))</f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s="2">
        <f>IF(A25="","",B25*IF(C25="Monthly",1,IF(C25="Twice Monthly",2,IF(C25="Weekly",4.333,IF(C25="Biweekly",2.167,IF(C25="Quarterly",0.333,IF(C25="Yearly",0.0833,1)))))))</f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s="2">
        <f>IF(A26="","",B26*IF(C26="Monthly",1,IF(C26="Twice Monthly",2,IF(C26="Weekly",4.333,IF(C26="Biweekly",2.167,IF(C26="Quarterly",0.333,IF(C26="Yearly",0.0833,1)))))))</f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26.83203125" customWidth="1"/>
    <col min="2" max="2" width="20.83203125" customWidth="1"/>
    <col min="3" max="3" width="18.83203125" customWidth="1"/>
    <col min="4" max="4" width="15.83203125" customWidth="1"/>
    <col min="5" max="5" width="15.83203125" customWidth="1"/>
    <col min="6" max="6" width="18.83203125" customWidth="1"/>
  </cols>
  <sheetData>
    <row r="1">
      <c r="A1" t="str">
        <v>Description</v>
      </c>
      <c r="B1" t="str">
        <v>Amount per occurrence</v>
      </c>
      <c r="C1" t="str">
        <v>Cadence</v>
      </c>
      <c r="D1" t="str">
        <v>Starts on</v>
      </c>
      <c r="E1" t="str">
        <v>Ends on</v>
      </c>
      <c r="F1" t="str">
        <v>Monthly impact</v>
      </c>
    </row>
    <row r="2">
      <c r="A2" t="str">
        <v>Rent</v>
      </c>
      <c r="B2">
        <v>1600</v>
      </c>
      <c r="C2" t="str">
        <v>Monthly</v>
      </c>
      <c r="D2" s="1">
        <v>46112.708333333336</v>
      </c>
      <c r="E2" s="1" t="str">
        <v/>
      </c>
      <c r="F2" s="2">
        <f>B2</f>
      </c>
    </row>
    <row r="3">
      <c r="A3" t="str">
        <v>Software stack</v>
      </c>
      <c r="B3">
        <v>240</v>
      </c>
      <c r="C3" t="str">
        <v>Monthly</v>
      </c>
      <c r="D3" s="1">
        <v>46112.708333333336</v>
      </c>
      <c r="E3" s="1" t="str">
        <v/>
      </c>
      <c r="F3" s="2">
        <f>B3</f>
      </c>
    </row>
    <row r="4">
      <c r="A4" t="str">
        <v>Contractor support</v>
      </c>
      <c r="B4">
        <v>450</v>
      </c>
      <c r="C4" t="str">
        <v>Biweekly</v>
      </c>
      <c r="D4" s="1">
        <v>46112.708333333336</v>
      </c>
      <c r="E4" s="1" t="str">
        <v/>
      </c>
      <c r="F4" s="2">
        <f>B4*2.167</f>
      </c>
    </row>
    <row r="5">
      <c r="A5" t="str">
        <v>Insurance</v>
      </c>
      <c r="B5">
        <v>900</v>
      </c>
      <c r="C5" t="str">
        <v>Quarterly</v>
      </c>
      <c r="D5" s="1">
        <v>46112.708333333336</v>
      </c>
      <c r="E5" s="1" t="str">
        <v/>
      </c>
      <c r="F5" s="2">
        <f>B5*0.333</f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s="2">
        <f>IF(A2="","",B2*IF(C2="Monthly",1,IF(C2="Twice Monthly",2,IF(C2="Weekly",4.333,IF(C2="Biweekly",2.167,IF(C2="Quarterly",0.333,IF(C2="Yearly",0.0833,1)))))))</f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s="2">
        <f>IF(A3="","",B3*IF(C3="Monthly",1,IF(C3="Twice Monthly",2,IF(C3="Weekly",4.333,IF(C3="Biweekly",2.167,IF(C3="Quarterly",0.333,IF(C3="Yearly",0.0833,1)))))))</f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s="2">
        <f>IF(A4="","",B4*IF(C4="Monthly",1,IF(C4="Twice Monthly",2,IF(C4="Weekly",4.333,IF(C4="Biweekly",2.167,IF(C4="Quarterly",0.333,IF(C4="Yearly",0.0833,1)))))))</f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s="2">
        <f>IF(A5="","",B5*IF(C5="Monthly",1,IF(C5="Twice Monthly",2,IF(C5="Weekly",4.333,IF(C5="Biweekly",2.167,IF(C5="Quarterly",0.333,IF(C5="Yearly",0.0833,1)))))))</f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s="2">
        <f>IF(A6="","",B6*IF(C6="Monthly",1,IF(C6="Twice Monthly",2,IF(C6="Weekly",4.333,IF(C6="Biweekly",2.167,IF(C6="Quarterly",0.333,IF(C6="Yearly",0.0833,1)))))))</f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s="2">
        <f>IF(A7="","",B7*IF(C7="Monthly",1,IF(C7="Twice Monthly",2,IF(C7="Weekly",4.333,IF(C7="Biweekly",2.167,IF(C7="Quarterly",0.333,IF(C7="Yearly",0.0833,1)))))))</f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s="2">
        <f>IF(A8="","",B8*IF(C8="Monthly",1,IF(C8="Twice Monthly",2,IF(C8="Weekly",4.333,IF(C8="Biweekly",2.167,IF(C8="Quarterly",0.333,IF(C8="Yearly",0.0833,1)))))))</f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s="2">
        <f>IF(A9="","",B9*IF(C9="Monthly",1,IF(C9="Twice Monthly",2,IF(C9="Weekly",4.333,IF(C9="Biweekly",2.167,IF(C9="Quarterly",0.333,IF(C9="Yearly",0.0833,1)))))))</f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s="2">
        <f>IF(A10="","",B10*IF(C10="Monthly",1,IF(C10="Twice Monthly",2,IF(C10="Weekly",4.333,IF(C10="Biweekly",2.167,IF(C10="Quarterly",0.333,IF(C10="Yearly",0.0833,1)))))))</f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s="2">
        <f>IF(A11="","",B11*IF(C11="Monthly",1,IF(C11="Twice Monthly",2,IF(C11="Weekly",4.333,IF(C11="Biweekly",2.167,IF(C11="Quarterly",0.333,IF(C11="Yearly",0.0833,1)))))))</f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s="2">
        <f>IF(A12="","",B12*IF(C12="Monthly",1,IF(C12="Twice Monthly",2,IF(C12="Weekly",4.333,IF(C12="Biweekly",2.167,IF(C12="Quarterly",0.333,IF(C12="Yearly",0.0833,1)))))))</f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s="2">
        <f>IF(A13="","",B13*IF(C13="Monthly",1,IF(C13="Twice Monthly",2,IF(C13="Weekly",4.333,IF(C13="Biweekly",2.167,IF(C13="Quarterly",0.333,IF(C13="Yearly",0.0833,1)))))))</f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s="2">
        <f>IF(A14="","",B14*IF(C14="Monthly",1,IF(C14="Twice Monthly",2,IF(C14="Weekly",4.333,IF(C14="Biweekly",2.167,IF(C14="Quarterly",0.333,IF(C14="Yearly",0.0833,1)))))))</f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s="2">
        <f>IF(A15="","",B15*IF(C15="Monthly",1,IF(C15="Twice Monthly",2,IF(C15="Weekly",4.333,IF(C15="Biweekly",2.167,IF(C15="Quarterly",0.333,IF(C15="Yearly",0.0833,1)))))))</f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s="2">
        <f>IF(A16="","",B16*IF(C16="Monthly",1,IF(C16="Twice Monthly",2,IF(C16="Weekly",4.333,IF(C16="Biweekly",2.167,IF(C16="Quarterly",0.333,IF(C16="Yearly",0.0833,1)))))))</f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s="2">
        <f>IF(A17="","",B17*IF(C17="Monthly",1,IF(C17="Twice Monthly",2,IF(C17="Weekly",4.333,IF(C17="Biweekly",2.167,IF(C17="Quarterly",0.333,IF(C17="Yearly",0.0833,1)))))))</f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s="2">
        <f>IF(A18="","",B18*IF(C18="Monthly",1,IF(C18="Twice Monthly",2,IF(C18="Weekly",4.333,IF(C18="Biweekly",2.167,IF(C18="Quarterly",0.333,IF(C18="Yearly",0.0833,1)))))))</f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s="2">
        <f>IF(A19="","",B19*IF(C19="Monthly",1,IF(C19="Twice Monthly",2,IF(C19="Weekly",4.333,IF(C19="Biweekly",2.167,IF(C19="Quarterly",0.333,IF(C19="Yearly",0.0833,1)))))))</f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s="2">
        <f>IF(A20="","",B20*IF(C20="Monthly",1,IF(C20="Twice Monthly",2,IF(C20="Weekly",4.333,IF(C20="Biweekly",2.167,IF(C20="Quarterly",0.333,IF(C20="Yearly",0.0833,1)))))))</f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s="2">
        <f>IF(A21="","",B21*IF(C21="Monthly",1,IF(C21="Twice Monthly",2,IF(C21="Weekly",4.333,IF(C21="Biweekly",2.167,IF(C21="Quarterly",0.333,IF(C21="Yearly",0.0833,1)))))))</f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s="2">
        <f>IF(A22="","",B22*IF(C22="Monthly",1,IF(C22="Twice Monthly",2,IF(C22="Weekly",4.333,IF(C22="Biweekly",2.167,IF(C22="Quarterly",0.333,IF(C22="Yearly",0.0833,1)))))))</f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s="2">
        <f>IF(A23="","",B23*IF(C23="Monthly",1,IF(C23="Twice Monthly",2,IF(C23="Weekly",4.333,IF(C23="Biweekly",2.167,IF(C23="Quarterly",0.333,IF(C23="Yearly",0.0833,1)))))))</f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s="2">
        <f>IF(A24="","",B24*IF(C24="Monthly",1,IF(C24="Twice Monthly",2,IF(C24="Weekly",4.333,IF(C24="Biweekly",2.167,IF(C24="Quarterly",0.333,IF(C24="Yearly",0.0833,1)))))))</f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s="2">
        <f>IF(A25="","",B25*IF(C25="Monthly",1,IF(C25="Twice Monthly",2,IF(C25="Weekly",4.333,IF(C25="Biweekly",2.167,IF(C25="Quarterly",0.333,IF(C25="Yearly",0.0833,1)))))))</f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s="2">
        <f>IF(A26="","",B26*IF(C26="Monthly",1,IF(C26="Twice Monthly",2,IF(C26="Weekly",4.333,IF(C26="Biweekly",2.167,IF(C26="Quarterly",0.333,IF(C26="Yearly",0.0833,1)))))))</f>
      </c>
    </row>
  </sheetData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18.83203125" customWidth="1"/>
    <col min="2" max="2" width="32.83203125" customWidth="1"/>
    <col min="3" max="3" width="16.83203125" customWidth="1"/>
  </cols>
  <sheetData>
    <row r="1">
      <c r="A1" t="str">
        <v>Date</v>
      </c>
      <c r="B1" t="str">
        <v>Description</v>
      </c>
      <c r="C1" t="str">
        <v>Amount</v>
      </c>
    </row>
    <row r="2">
      <c r="A2" s="3">
        <v>46173.708333333336</v>
      </c>
      <c r="B2" t="str">
        <v>Quarterly tax payment</v>
      </c>
      <c r="C2">
        <v>-1200</v>
      </c>
    </row>
    <row r="3">
      <c r="A3" s="3">
        <v>46234.708333333336</v>
      </c>
      <c r="B3" t="str">
        <v>Laptop replacement</v>
      </c>
      <c r="C3">
        <v>-1800</v>
      </c>
    </row>
    <row r="4">
      <c r="A4" s="3">
        <v>46265.708333333336</v>
      </c>
      <c r="B4" t="str">
        <v>Large client invoice</v>
      </c>
      <c r="C4">
        <v>3200</v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  <row r="28">
      <c r="A28" t="str">
        <v/>
      </c>
      <c r="B28" t="str">
        <v/>
      </c>
      <c r="C28" t="str">
        <v/>
      </c>
    </row>
    <row r="29">
      <c r="A29" t="str">
        <v/>
      </c>
      <c r="B29" t="str">
        <v/>
      </c>
      <c r="C29" t="str">
        <v/>
      </c>
    </row>
  </sheetData>
  <ignoredErrors>
    <ignoredError numberStoredAsText="1" sqref="A1:C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20.83203125" customWidth="1"/>
    <col min="5" max="5" width="20.83203125" customWidth="1"/>
    <col min="6" max="6" width="14.83203125" customWidth="1"/>
    <col min="7" max="7" width="16.83203125" customWidth="1"/>
    <col min="8" max="8" width="18.83203125" customWidth="1"/>
  </cols>
  <sheetData>
    <row r="1">
      <c r="A1" t="str">
        <v>Month</v>
      </c>
      <c r="B1" t="str">
        <v>Starting balance</v>
      </c>
      <c r="C1" t="str">
        <v>Recurring income</v>
      </c>
      <c r="D1" t="str">
        <v>Recurring expenses</v>
      </c>
      <c r="E1" t="str">
        <v>One-off adjustments</v>
      </c>
      <c r="F1" t="str">
        <v>Net change</v>
      </c>
      <c r="G1" t="str">
        <v>Ending balance</v>
      </c>
      <c r="H1" t="str">
        <v>Status</v>
      </c>
    </row>
    <row r="2">
      <c r="A2" s="1">
        <f>IF(ROW()-1&gt;Inputs!$B$4,"",EDATE(Inputs!$B$3,ROW()-2))</f>
      </c>
      <c r="B2" s="2">
        <f>IF(A2="","",Inputs!$B$2)</f>
      </c>
      <c r="C2" s="2">
        <f>IF(A2="","",SUMPRODUCT(('Recurring Income'!$A$2:$A$30&lt;&gt;"")*('Recurring Income'!$D$2:$D$30&lt;=A2)*(('Recurring Income'!$E$2:$E$30="")+('Recurring Income'!$E$2:$E$30&gt;=A2))*('Recurring Income'!$F$2:$F$30)))</f>
      </c>
      <c r="D2" s="2">
        <f>IF(A2="","",SUMPRODUCT(('Recurring Expenses'!$A$2:$A$30&lt;&gt;"")*('Recurring Expenses'!$D$2:$D$30&lt;=A2)*(('Recurring Expenses'!$E$2:$E$30="")+('Recurring Expenses'!$E$2:$E$30&gt;=A2))*('Recurring Expenses'!$F$2:$F$30)))</f>
      </c>
      <c r="E2" s="2">
        <f>IF(A2="","",SUMIFS('One-Off Adjustments'!$C$2:$C$30,'One-Off Adjustments'!$A$2:$A$30,"&gt;="&amp;A2,'One-Off Adjustments'!$A$2:$A$30,"&lt;"&amp;EDATE(A2,1)))</f>
      </c>
      <c r="F2" s="2">
        <f>IF(A2="","",C2-D2+E2)</f>
      </c>
      <c r="G2" s="2">
        <f>IF(A2="","",B2+F2)</f>
      </c>
      <c r="H2">
        <f>IF(A2="","",IF(G2&lt;Inputs!$B$5,"Below threshold","Healthy"))</f>
      </c>
    </row>
    <row r="3">
      <c r="A3" s="1">
        <f>IF(ROW()-1&gt;Inputs!$B$4,"",EDATE(Inputs!$B$3,ROW()-2))</f>
      </c>
      <c r="B3" s="2">
        <f>IF(A3="","",G2)</f>
      </c>
      <c r="C3" s="2">
        <f>IF(A3="","",SUMPRODUCT(('Recurring Income'!$A$2:$A$30&lt;&gt;"")*('Recurring Income'!$D$2:$D$30&lt;=A3)*(('Recurring Income'!$E$2:$E$30="")+('Recurring Income'!$E$2:$E$30&gt;=A3))*('Recurring Income'!$F$2:$F$30)))</f>
      </c>
      <c r="D3" s="2">
        <f>IF(A3="","",SUMPRODUCT(('Recurring Expenses'!$A$2:$A$30&lt;&gt;"")*('Recurring Expenses'!$D$2:$D$30&lt;=A3)*(('Recurring Expenses'!$E$2:$E$30="")+('Recurring Expenses'!$E$2:$E$30&gt;=A3))*('Recurring Expenses'!$F$2:$F$30)))</f>
      </c>
      <c r="E3" s="2">
        <f>IF(A3="","",SUMIFS('One-Off Adjustments'!$C$2:$C$30,'One-Off Adjustments'!$A$2:$A$30,"&gt;="&amp;A3,'One-Off Adjustments'!$A$2:$A$30,"&lt;"&amp;EDATE(A3,1)))</f>
      </c>
      <c r="F3" s="2">
        <f>IF(A3="","",C3-D3+E3)</f>
      </c>
      <c r="G3" s="2">
        <f>IF(A3="","",B3+F3)</f>
      </c>
      <c r="H3">
        <f>IF(A3="","",IF(G3&lt;Inputs!$B$5,"Below threshold","Healthy"))</f>
      </c>
    </row>
    <row r="4">
      <c r="A4" s="1">
        <f>IF(ROW()-1&gt;Inputs!$B$4,"",EDATE(Inputs!$B$3,ROW()-2))</f>
      </c>
      <c r="B4" s="2">
        <f>IF(A4="","",G3)</f>
      </c>
      <c r="C4" s="2">
        <f>IF(A4="","",SUMPRODUCT(('Recurring Income'!$A$2:$A$30&lt;&gt;"")*('Recurring Income'!$D$2:$D$30&lt;=A4)*(('Recurring Income'!$E$2:$E$30="")+('Recurring Income'!$E$2:$E$30&gt;=A4))*('Recurring Income'!$F$2:$F$30)))</f>
      </c>
      <c r="D4" s="2">
        <f>IF(A4="","",SUMPRODUCT(('Recurring Expenses'!$A$2:$A$30&lt;&gt;"")*('Recurring Expenses'!$D$2:$D$30&lt;=A4)*(('Recurring Expenses'!$E$2:$E$30="")+('Recurring Expenses'!$E$2:$E$30&gt;=A4))*('Recurring Expenses'!$F$2:$F$30)))</f>
      </c>
      <c r="E4" s="2">
        <f>IF(A4="","",SUMIFS('One-Off Adjustments'!$C$2:$C$30,'One-Off Adjustments'!$A$2:$A$30,"&gt;="&amp;A4,'One-Off Adjustments'!$A$2:$A$30,"&lt;"&amp;EDATE(A4,1)))</f>
      </c>
      <c r="F4" s="2">
        <f>IF(A4="","",C4-D4+E4)</f>
      </c>
      <c r="G4" s="2">
        <f>IF(A4="","",B4+F4)</f>
      </c>
      <c r="H4">
        <f>IF(A4="","",IF(G4&lt;Inputs!$B$5,"Below threshold","Healthy"))</f>
      </c>
    </row>
    <row r="5">
      <c r="A5" s="1">
        <f>IF(ROW()-1&gt;Inputs!$B$4,"",EDATE(Inputs!$B$3,ROW()-2))</f>
      </c>
      <c r="B5" s="2">
        <f>IF(A5="","",G4)</f>
      </c>
      <c r="C5" s="2">
        <f>IF(A5="","",SUMPRODUCT(('Recurring Income'!$A$2:$A$30&lt;&gt;"")*('Recurring Income'!$D$2:$D$30&lt;=A5)*(('Recurring Income'!$E$2:$E$30="")+('Recurring Income'!$E$2:$E$30&gt;=A5))*('Recurring Income'!$F$2:$F$30)))</f>
      </c>
      <c r="D5" s="2">
        <f>IF(A5="","",SUMPRODUCT(('Recurring Expenses'!$A$2:$A$30&lt;&gt;"")*('Recurring Expenses'!$D$2:$D$30&lt;=A5)*(('Recurring Expenses'!$E$2:$E$30="")+('Recurring Expenses'!$E$2:$E$30&gt;=A5))*('Recurring Expenses'!$F$2:$F$30)))</f>
      </c>
      <c r="E5" s="2">
        <f>IF(A5="","",SUMIFS('One-Off Adjustments'!$C$2:$C$30,'One-Off Adjustments'!$A$2:$A$30,"&gt;="&amp;A5,'One-Off Adjustments'!$A$2:$A$30,"&lt;"&amp;EDATE(A5,1)))</f>
      </c>
      <c r="F5" s="2">
        <f>IF(A5="","",C5-D5+E5)</f>
      </c>
      <c r="G5" s="2">
        <f>IF(A5="","",B5+F5)</f>
      </c>
      <c r="H5">
        <f>IF(A5="","",IF(G5&lt;Inputs!$B$5,"Below threshold","Healthy"))</f>
      </c>
    </row>
    <row r="6">
      <c r="A6" s="1">
        <f>IF(ROW()-1&gt;Inputs!$B$4,"",EDATE(Inputs!$B$3,ROW()-2))</f>
      </c>
      <c r="B6" s="2">
        <f>IF(A6="","",G5)</f>
      </c>
      <c r="C6" s="2">
        <f>IF(A6="","",SUMPRODUCT(('Recurring Income'!$A$2:$A$30&lt;&gt;"")*('Recurring Income'!$D$2:$D$30&lt;=A6)*(('Recurring Income'!$E$2:$E$30="")+('Recurring Income'!$E$2:$E$30&gt;=A6))*('Recurring Income'!$F$2:$F$30)))</f>
      </c>
      <c r="D6" s="2">
        <f>IF(A6="","",SUMPRODUCT(('Recurring Expenses'!$A$2:$A$30&lt;&gt;"")*('Recurring Expenses'!$D$2:$D$30&lt;=A6)*(('Recurring Expenses'!$E$2:$E$30="")+('Recurring Expenses'!$E$2:$E$30&gt;=A6))*('Recurring Expenses'!$F$2:$F$30)))</f>
      </c>
      <c r="E6" s="2">
        <f>IF(A6="","",SUMIFS('One-Off Adjustments'!$C$2:$C$30,'One-Off Adjustments'!$A$2:$A$30,"&gt;="&amp;A6,'One-Off Adjustments'!$A$2:$A$30,"&lt;"&amp;EDATE(A6,1)))</f>
      </c>
      <c r="F6" s="2">
        <f>IF(A6="","",C6-D6+E6)</f>
      </c>
      <c r="G6" s="2">
        <f>IF(A6="","",B6+F6)</f>
      </c>
      <c r="H6">
        <f>IF(A6="","",IF(G6&lt;Inputs!$B$5,"Below threshold","Healthy"))</f>
      </c>
    </row>
    <row r="7">
      <c r="A7" s="1">
        <f>IF(ROW()-1&gt;Inputs!$B$4,"",EDATE(Inputs!$B$3,ROW()-2))</f>
      </c>
      <c r="B7" s="2">
        <f>IF(A7="","",G6)</f>
      </c>
      <c r="C7" s="2">
        <f>IF(A7="","",SUMPRODUCT(('Recurring Income'!$A$2:$A$30&lt;&gt;"")*('Recurring Income'!$D$2:$D$30&lt;=A7)*(('Recurring Income'!$E$2:$E$30="")+('Recurring Income'!$E$2:$E$30&gt;=A7))*('Recurring Income'!$F$2:$F$30)))</f>
      </c>
      <c r="D7" s="2">
        <f>IF(A7="","",SUMPRODUCT(('Recurring Expenses'!$A$2:$A$30&lt;&gt;"")*('Recurring Expenses'!$D$2:$D$30&lt;=A7)*(('Recurring Expenses'!$E$2:$E$30="")+('Recurring Expenses'!$E$2:$E$30&gt;=A7))*('Recurring Expenses'!$F$2:$F$30)))</f>
      </c>
      <c r="E7" s="2">
        <f>IF(A7="","",SUMIFS('One-Off Adjustments'!$C$2:$C$30,'One-Off Adjustments'!$A$2:$A$30,"&gt;="&amp;A7,'One-Off Adjustments'!$A$2:$A$30,"&lt;"&amp;EDATE(A7,1)))</f>
      </c>
      <c r="F7" s="2">
        <f>IF(A7="","",C7-D7+E7)</f>
      </c>
      <c r="G7" s="2">
        <f>IF(A7="","",B7+F7)</f>
      </c>
      <c r="H7">
        <f>IF(A7="","",IF(G7&lt;Inputs!$B$5,"Below threshold","Healthy"))</f>
      </c>
    </row>
    <row r="8">
      <c r="A8" s="1">
        <f>IF(ROW()-1&gt;Inputs!$B$4,"",EDATE(Inputs!$B$3,ROW()-2))</f>
      </c>
      <c r="B8" s="2">
        <f>IF(A8="","",G7)</f>
      </c>
      <c r="C8" s="2">
        <f>IF(A8="","",SUMPRODUCT(('Recurring Income'!$A$2:$A$30&lt;&gt;"")*('Recurring Income'!$D$2:$D$30&lt;=A8)*(('Recurring Income'!$E$2:$E$30="")+('Recurring Income'!$E$2:$E$30&gt;=A8))*('Recurring Income'!$F$2:$F$30)))</f>
      </c>
      <c r="D8" s="2">
        <f>IF(A8="","",SUMPRODUCT(('Recurring Expenses'!$A$2:$A$30&lt;&gt;"")*('Recurring Expenses'!$D$2:$D$30&lt;=A8)*(('Recurring Expenses'!$E$2:$E$30="")+('Recurring Expenses'!$E$2:$E$30&gt;=A8))*('Recurring Expenses'!$F$2:$F$30)))</f>
      </c>
      <c r="E8" s="2">
        <f>IF(A8="","",SUMIFS('One-Off Adjustments'!$C$2:$C$30,'One-Off Adjustments'!$A$2:$A$30,"&gt;="&amp;A8,'One-Off Adjustments'!$A$2:$A$30,"&lt;"&amp;EDATE(A8,1)))</f>
      </c>
      <c r="F8" s="2">
        <f>IF(A8="","",C8-D8+E8)</f>
      </c>
      <c r="G8" s="2">
        <f>IF(A8="","",B8+F8)</f>
      </c>
      <c r="H8">
        <f>IF(A8="","",IF(G8&lt;Inputs!$B$5,"Below threshold","Healthy"))</f>
      </c>
    </row>
    <row r="9">
      <c r="A9" s="1">
        <f>IF(ROW()-1&gt;Inputs!$B$4,"",EDATE(Inputs!$B$3,ROW()-2))</f>
      </c>
      <c r="B9" s="2">
        <f>IF(A9="","",G8)</f>
      </c>
      <c r="C9" s="2">
        <f>IF(A9="","",SUMPRODUCT(('Recurring Income'!$A$2:$A$30&lt;&gt;"")*('Recurring Income'!$D$2:$D$30&lt;=A9)*(('Recurring Income'!$E$2:$E$30="")+('Recurring Income'!$E$2:$E$30&gt;=A9))*('Recurring Income'!$F$2:$F$30)))</f>
      </c>
      <c r="D9" s="2">
        <f>IF(A9="","",SUMPRODUCT(('Recurring Expenses'!$A$2:$A$30&lt;&gt;"")*('Recurring Expenses'!$D$2:$D$30&lt;=A9)*(('Recurring Expenses'!$E$2:$E$30="")+('Recurring Expenses'!$E$2:$E$30&gt;=A9))*('Recurring Expenses'!$F$2:$F$30)))</f>
      </c>
      <c r="E9" s="2">
        <f>IF(A9="","",SUMIFS('One-Off Adjustments'!$C$2:$C$30,'One-Off Adjustments'!$A$2:$A$30,"&gt;="&amp;A9,'One-Off Adjustments'!$A$2:$A$30,"&lt;"&amp;EDATE(A9,1)))</f>
      </c>
      <c r="F9" s="2">
        <f>IF(A9="","",C9-D9+E9)</f>
      </c>
      <c r="G9" s="2">
        <f>IF(A9="","",B9+F9)</f>
      </c>
      <c r="H9">
        <f>IF(A9="","",IF(G9&lt;Inputs!$B$5,"Below threshold","Healthy"))</f>
      </c>
    </row>
    <row r="10">
      <c r="A10" s="1">
        <f>IF(ROW()-1&gt;Inputs!$B$4,"",EDATE(Inputs!$B$3,ROW()-2))</f>
      </c>
      <c r="B10" s="2">
        <f>IF(A10="","",G9)</f>
      </c>
      <c r="C10" s="2">
        <f>IF(A10="","",SUMPRODUCT(('Recurring Income'!$A$2:$A$30&lt;&gt;"")*('Recurring Income'!$D$2:$D$30&lt;=A10)*(('Recurring Income'!$E$2:$E$30="")+('Recurring Income'!$E$2:$E$30&gt;=A10))*('Recurring Income'!$F$2:$F$30)))</f>
      </c>
      <c r="D10" s="2">
        <f>IF(A10="","",SUMPRODUCT(('Recurring Expenses'!$A$2:$A$30&lt;&gt;"")*('Recurring Expenses'!$D$2:$D$30&lt;=A10)*(('Recurring Expenses'!$E$2:$E$30="")+('Recurring Expenses'!$E$2:$E$30&gt;=A10))*('Recurring Expenses'!$F$2:$F$30)))</f>
      </c>
      <c r="E10" s="2">
        <f>IF(A10="","",SUMIFS('One-Off Adjustments'!$C$2:$C$30,'One-Off Adjustments'!$A$2:$A$30,"&gt;="&amp;A10,'One-Off Adjustments'!$A$2:$A$30,"&lt;"&amp;EDATE(A10,1)))</f>
      </c>
      <c r="F10" s="2">
        <f>IF(A10="","",C10-D10+E10)</f>
      </c>
      <c r="G10" s="2">
        <f>IF(A10="","",B10+F10)</f>
      </c>
      <c r="H10">
        <f>IF(A10="","",IF(G10&lt;Inputs!$B$5,"Below threshold","Healthy"))</f>
      </c>
    </row>
    <row r="11">
      <c r="A11" s="1">
        <f>IF(ROW()-1&gt;Inputs!$B$4,"",EDATE(Inputs!$B$3,ROW()-2))</f>
      </c>
      <c r="B11" s="2">
        <f>IF(A11="","",G10)</f>
      </c>
      <c r="C11" s="2">
        <f>IF(A11="","",SUMPRODUCT(('Recurring Income'!$A$2:$A$30&lt;&gt;"")*('Recurring Income'!$D$2:$D$30&lt;=A11)*(('Recurring Income'!$E$2:$E$30="")+('Recurring Income'!$E$2:$E$30&gt;=A11))*('Recurring Income'!$F$2:$F$30)))</f>
      </c>
      <c r="D11" s="2">
        <f>IF(A11="","",SUMPRODUCT(('Recurring Expenses'!$A$2:$A$30&lt;&gt;"")*('Recurring Expenses'!$D$2:$D$30&lt;=A11)*(('Recurring Expenses'!$E$2:$E$30="")+('Recurring Expenses'!$E$2:$E$30&gt;=A11))*('Recurring Expenses'!$F$2:$F$30)))</f>
      </c>
      <c r="E11" s="2">
        <f>IF(A11="","",SUMIFS('One-Off Adjustments'!$C$2:$C$30,'One-Off Adjustments'!$A$2:$A$30,"&gt;="&amp;A11,'One-Off Adjustments'!$A$2:$A$30,"&lt;"&amp;EDATE(A11,1)))</f>
      </c>
      <c r="F11" s="2">
        <f>IF(A11="","",C11-D11+E11)</f>
      </c>
      <c r="G11" s="2">
        <f>IF(A11="","",B11+F11)</f>
      </c>
      <c r="H11">
        <f>IF(A11="","",IF(G11&lt;Inputs!$B$5,"Below threshold","Healthy"))</f>
      </c>
    </row>
    <row r="12">
      <c r="A12" s="1">
        <f>IF(ROW()-1&gt;Inputs!$B$4,"",EDATE(Inputs!$B$3,ROW()-2))</f>
      </c>
      <c r="B12" s="2">
        <f>IF(A12="","",G11)</f>
      </c>
      <c r="C12" s="2">
        <f>IF(A12="","",SUMPRODUCT(('Recurring Income'!$A$2:$A$30&lt;&gt;"")*('Recurring Income'!$D$2:$D$30&lt;=A12)*(('Recurring Income'!$E$2:$E$30="")+('Recurring Income'!$E$2:$E$30&gt;=A12))*('Recurring Income'!$F$2:$F$30)))</f>
      </c>
      <c r="D12" s="2">
        <f>IF(A12="","",SUMPRODUCT(('Recurring Expenses'!$A$2:$A$30&lt;&gt;"")*('Recurring Expenses'!$D$2:$D$30&lt;=A12)*(('Recurring Expenses'!$E$2:$E$30="")+('Recurring Expenses'!$E$2:$E$30&gt;=A12))*('Recurring Expenses'!$F$2:$F$30)))</f>
      </c>
      <c r="E12" s="2">
        <f>IF(A12="","",SUMIFS('One-Off Adjustments'!$C$2:$C$30,'One-Off Adjustments'!$A$2:$A$30,"&gt;="&amp;A12,'One-Off Adjustments'!$A$2:$A$30,"&lt;"&amp;EDATE(A12,1)))</f>
      </c>
      <c r="F12" s="2">
        <f>IF(A12="","",C12-D12+E12)</f>
      </c>
      <c r="G12" s="2">
        <f>IF(A12="","",B12+F12)</f>
      </c>
      <c r="H12">
        <f>IF(A12="","",IF(G12&lt;Inputs!$B$5,"Below threshold","Healthy"))</f>
      </c>
    </row>
    <row r="13">
      <c r="A13" s="1">
        <f>IF(ROW()-1&gt;Inputs!$B$4,"",EDATE(Inputs!$B$3,ROW()-2))</f>
      </c>
      <c r="B13" s="2">
        <f>IF(A13="","",G12)</f>
      </c>
      <c r="C13" s="2">
        <f>IF(A13="","",SUMPRODUCT(('Recurring Income'!$A$2:$A$30&lt;&gt;"")*('Recurring Income'!$D$2:$D$30&lt;=A13)*(('Recurring Income'!$E$2:$E$30="")+('Recurring Income'!$E$2:$E$30&gt;=A13))*('Recurring Income'!$F$2:$F$30)))</f>
      </c>
      <c r="D13" s="2">
        <f>IF(A13="","",SUMPRODUCT(('Recurring Expenses'!$A$2:$A$30&lt;&gt;"")*('Recurring Expenses'!$D$2:$D$30&lt;=A13)*(('Recurring Expenses'!$E$2:$E$30="")+('Recurring Expenses'!$E$2:$E$30&gt;=A13))*('Recurring Expenses'!$F$2:$F$30)))</f>
      </c>
      <c r="E13" s="2">
        <f>IF(A13="","",SUMIFS('One-Off Adjustments'!$C$2:$C$30,'One-Off Adjustments'!$A$2:$A$30,"&gt;="&amp;A13,'One-Off Adjustments'!$A$2:$A$30,"&lt;"&amp;EDATE(A13,1)))</f>
      </c>
      <c r="F13" s="2">
        <f>IF(A13="","",C13-D13+E13)</f>
      </c>
      <c r="G13" s="2">
        <f>IF(A13="","",B13+F13)</f>
      </c>
      <c r="H13">
        <f>IF(A13="","",IF(G13&lt;Inputs!$B$5,"Below threshold","Healthy"))</f>
      </c>
    </row>
    <row r="14">
      <c r="A14" s="1">
        <f>IF(ROW()-1&gt;Inputs!$B$4,"",EDATE(Inputs!$B$3,ROW()-2))</f>
      </c>
      <c r="B14" s="2">
        <f>IF(A14="","",G13)</f>
      </c>
      <c r="C14" s="2">
        <f>IF(A14="","",SUMPRODUCT(('Recurring Income'!$A$2:$A$30&lt;&gt;"")*('Recurring Income'!$D$2:$D$30&lt;=A14)*(('Recurring Income'!$E$2:$E$30="")+('Recurring Income'!$E$2:$E$30&gt;=A14))*('Recurring Income'!$F$2:$F$30)))</f>
      </c>
      <c r="D14" s="2">
        <f>IF(A14="","",SUMPRODUCT(('Recurring Expenses'!$A$2:$A$30&lt;&gt;"")*('Recurring Expenses'!$D$2:$D$30&lt;=A14)*(('Recurring Expenses'!$E$2:$E$30="")+('Recurring Expenses'!$E$2:$E$30&gt;=A14))*('Recurring Expenses'!$F$2:$F$30)))</f>
      </c>
      <c r="E14" s="2">
        <f>IF(A14="","",SUMIFS('One-Off Adjustments'!$C$2:$C$30,'One-Off Adjustments'!$A$2:$A$30,"&gt;="&amp;A14,'One-Off Adjustments'!$A$2:$A$30,"&lt;"&amp;EDATE(A14,1)))</f>
      </c>
      <c r="F14" s="2">
        <f>IF(A14="","",C14-D14+E14)</f>
      </c>
      <c r="G14" s="2">
        <f>IF(A14="","",B14+F14)</f>
      </c>
      <c r="H14">
        <f>IF(A14="","",IF(G14&lt;Inputs!$B$5,"Below threshold","Healthy"))</f>
      </c>
    </row>
    <row r="15">
      <c r="A15" s="1">
        <f>IF(ROW()-1&gt;Inputs!$B$4,"",EDATE(Inputs!$B$3,ROW()-2))</f>
      </c>
      <c r="B15" s="2">
        <f>IF(A15="","",G14)</f>
      </c>
      <c r="C15" s="2">
        <f>IF(A15="","",SUMPRODUCT(('Recurring Income'!$A$2:$A$30&lt;&gt;"")*('Recurring Income'!$D$2:$D$30&lt;=A15)*(('Recurring Income'!$E$2:$E$30="")+('Recurring Income'!$E$2:$E$30&gt;=A15))*('Recurring Income'!$F$2:$F$30)))</f>
      </c>
      <c r="D15" s="2">
        <f>IF(A15="","",SUMPRODUCT(('Recurring Expenses'!$A$2:$A$30&lt;&gt;"")*('Recurring Expenses'!$D$2:$D$30&lt;=A15)*(('Recurring Expenses'!$E$2:$E$30="")+('Recurring Expenses'!$E$2:$E$30&gt;=A15))*('Recurring Expenses'!$F$2:$F$30)))</f>
      </c>
      <c r="E15" s="2">
        <f>IF(A15="","",SUMIFS('One-Off Adjustments'!$C$2:$C$30,'One-Off Adjustments'!$A$2:$A$30,"&gt;="&amp;A15,'One-Off Adjustments'!$A$2:$A$30,"&lt;"&amp;EDATE(A15,1)))</f>
      </c>
      <c r="F15" s="2">
        <f>IF(A15="","",C15-D15+E15)</f>
      </c>
      <c r="G15" s="2">
        <f>IF(A15="","",B15+F15)</f>
      </c>
      <c r="H15">
        <f>IF(A15="","",IF(G15&lt;Inputs!$B$5,"Below threshold","Healthy"))</f>
      </c>
    </row>
    <row r="16">
      <c r="A16" s="1">
        <f>IF(ROW()-1&gt;Inputs!$B$4,"",EDATE(Inputs!$B$3,ROW()-2))</f>
      </c>
      <c r="B16" s="2">
        <f>IF(A16="","",G15)</f>
      </c>
      <c r="C16" s="2">
        <f>IF(A16="","",SUMPRODUCT(('Recurring Income'!$A$2:$A$30&lt;&gt;"")*('Recurring Income'!$D$2:$D$30&lt;=A16)*(('Recurring Income'!$E$2:$E$30="")+('Recurring Income'!$E$2:$E$30&gt;=A16))*('Recurring Income'!$F$2:$F$30)))</f>
      </c>
      <c r="D16" s="2">
        <f>IF(A16="","",SUMPRODUCT(('Recurring Expenses'!$A$2:$A$30&lt;&gt;"")*('Recurring Expenses'!$D$2:$D$30&lt;=A16)*(('Recurring Expenses'!$E$2:$E$30="")+('Recurring Expenses'!$E$2:$E$30&gt;=A16))*('Recurring Expenses'!$F$2:$F$30)))</f>
      </c>
      <c r="E16" s="2">
        <f>IF(A16="","",SUMIFS('One-Off Adjustments'!$C$2:$C$30,'One-Off Adjustments'!$A$2:$A$30,"&gt;="&amp;A16,'One-Off Adjustments'!$A$2:$A$30,"&lt;"&amp;EDATE(A16,1)))</f>
      </c>
      <c r="F16" s="2">
        <f>IF(A16="","",C16-D16+E16)</f>
      </c>
      <c r="G16" s="2">
        <f>IF(A16="","",B16+F16)</f>
      </c>
      <c r="H16">
        <f>IF(A16="","",IF(G16&lt;Inputs!$B$5,"Below threshold","Healthy"))</f>
      </c>
    </row>
    <row r="17">
      <c r="A17" s="1">
        <f>IF(ROW()-1&gt;Inputs!$B$4,"",EDATE(Inputs!$B$3,ROW()-2))</f>
      </c>
      <c r="B17" s="2">
        <f>IF(A17="","",G16)</f>
      </c>
      <c r="C17" s="2">
        <f>IF(A17="","",SUMPRODUCT(('Recurring Income'!$A$2:$A$30&lt;&gt;"")*('Recurring Income'!$D$2:$D$30&lt;=A17)*(('Recurring Income'!$E$2:$E$30="")+('Recurring Income'!$E$2:$E$30&gt;=A17))*('Recurring Income'!$F$2:$F$30)))</f>
      </c>
      <c r="D17" s="2">
        <f>IF(A17="","",SUMPRODUCT(('Recurring Expenses'!$A$2:$A$30&lt;&gt;"")*('Recurring Expenses'!$D$2:$D$30&lt;=A17)*(('Recurring Expenses'!$E$2:$E$30="")+('Recurring Expenses'!$E$2:$E$30&gt;=A17))*('Recurring Expenses'!$F$2:$F$30)))</f>
      </c>
      <c r="E17" s="2">
        <f>IF(A17="","",SUMIFS('One-Off Adjustments'!$C$2:$C$30,'One-Off Adjustments'!$A$2:$A$30,"&gt;="&amp;A17,'One-Off Adjustments'!$A$2:$A$30,"&lt;"&amp;EDATE(A17,1)))</f>
      </c>
      <c r="F17" s="2">
        <f>IF(A17="","",C17-D17+E17)</f>
      </c>
      <c r="G17" s="2">
        <f>IF(A17="","",B17+F17)</f>
      </c>
      <c r="H17">
        <f>IF(A17="","",IF(G17&lt;Inputs!$B$5,"Below threshold","Healthy"))</f>
      </c>
    </row>
    <row r="18">
      <c r="A18" s="1">
        <f>IF(ROW()-1&gt;Inputs!$B$4,"",EDATE(Inputs!$B$3,ROW()-2))</f>
      </c>
      <c r="B18" s="2">
        <f>IF(A18="","",G17)</f>
      </c>
      <c r="C18" s="2">
        <f>IF(A18="","",SUMPRODUCT(('Recurring Income'!$A$2:$A$30&lt;&gt;"")*('Recurring Income'!$D$2:$D$30&lt;=A18)*(('Recurring Income'!$E$2:$E$30="")+('Recurring Income'!$E$2:$E$30&gt;=A18))*('Recurring Income'!$F$2:$F$30)))</f>
      </c>
      <c r="D18" s="2">
        <f>IF(A18="","",SUMPRODUCT(('Recurring Expenses'!$A$2:$A$30&lt;&gt;"")*('Recurring Expenses'!$D$2:$D$30&lt;=A18)*(('Recurring Expenses'!$E$2:$E$30="")+('Recurring Expenses'!$E$2:$E$30&gt;=A18))*('Recurring Expenses'!$F$2:$F$30)))</f>
      </c>
      <c r="E18" s="2">
        <f>IF(A18="","",SUMIFS('One-Off Adjustments'!$C$2:$C$30,'One-Off Adjustments'!$A$2:$A$30,"&gt;="&amp;A18,'One-Off Adjustments'!$A$2:$A$30,"&lt;"&amp;EDATE(A18,1)))</f>
      </c>
      <c r="F18" s="2">
        <f>IF(A18="","",C18-D18+E18)</f>
      </c>
      <c r="G18" s="2">
        <f>IF(A18="","",B18+F18)</f>
      </c>
      <c r="H18">
        <f>IF(A18="","",IF(G18&lt;Inputs!$B$5,"Below threshold","Healthy"))</f>
      </c>
    </row>
    <row r="19">
      <c r="A19" s="1">
        <f>IF(ROW()-1&gt;Inputs!$B$4,"",EDATE(Inputs!$B$3,ROW()-2))</f>
      </c>
      <c r="B19" s="2">
        <f>IF(A19="","",G18)</f>
      </c>
      <c r="C19" s="2">
        <f>IF(A19="","",SUMPRODUCT(('Recurring Income'!$A$2:$A$30&lt;&gt;"")*('Recurring Income'!$D$2:$D$30&lt;=A19)*(('Recurring Income'!$E$2:$E$30="")+('Recurring Income'!$E$2:$E$30&gt;=A19))*('Recurring Income'!$F$2:$F$30)))</f>
      </c>
      <c r="D19" s="2">
        <f>IF(A19="","",SUMPRODUCT(('Recurring Expenses'!$A$2:$A$30&lt;&gt;"")*('Recurring Expenses'!$D$2:$D$30&lt;=A19)*(('Recurring Expenses'!$E$2:$E$30="")+('Recurring Expenses'!$E$2:$E$30&gt;=A19))*('Recurring Expenses'!$F$2:$F$30)))</f>
      </c>
      <c r="E19" s="2">
        <f>IF(A19="","",SUMIFS('One-Off Adjustments'!$C$2:$C$30,'One-Off Adjustments'!$A$2:$A$30,"&gt;="&amp;A19,'One-Off Adjustments'!$A$2:$A$30,"&lt;"&amp;EDATE(A19,1)))</f>
      </c>
      <c r="F19" s="2">
        <f>IF(A19="","",C19-D19+E19)</f>
      </c>
      <c r="G19" s="2">
        <f>IF(A19="","",B19+F19)</f>
      </c>
      <c r="H19">
        <f>IF(A19="","",IF(G19&lt;Inputs!$B$5,"Below threshold","Healthy"))</f>
      </c>
    </row>
  </sheetData>
  <ignoredErrors>
    <ignoredError numberStoredAsText="1" sqref="A1:H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6.83203125" customWidth="1"/>
    <col min="2" max="2" width="18.83203125" customWidth="1"/>
    <col min="3" max="3" width="18.83203125" customWidth="1"/>
  </cols>
  <sheetData>
    <row r="1">
      <c r="A1" t="str">
        <v>Dashboard KPI</v>
      </c>
      <c r="B1" t="str">
        <v>Value</v>
      </c>
    </row>
    <row r="2">
      <c r="A2" t="str">
        <v>Lowest projected balance</v>
      </c>
      <c r="B2" s="2">
        <f>MINIFS('Forecast Timeline'!$G$2:$G$19,'Forecast Timeline'!$G$2:$G$19,"&lt;&gt;")</f>
      </c>
    </row>
    <row r="3">
      <c r="A3" t="str">
        <v>Month of lowest balance</v>
      </c>
      <c r="B3" s="1">
        <f>IFERROR(INDEX('Forecast Timeline'!$A$2:$A$19,MATCH(B2,'Forecast Timeline'!$G$2:$G$19,0)),"Review timeline")</f>
      </c>
    </row>
    <row r="4">
      <c r="A4" t="str">
        <v>Ending balance</v>
      </c>
      <c r="B4" s="2">
        <f>LOOKUP(9.99999999999999E+307,'Forecast Timeline'!$G$2:$G$19)</f>
      </c>
    </row>
    <row r="5">
      <c r="A5" t="str">
        <v>Shortfall status</v>
      </c>
      <c r="B5">
        <f>IF(COUNTIF('Forecast Timeline'!$G$2:$G$19,"&lt;0")&gt;0,"Runway gets tight within this plan","No shortfall in current plan")</f>
      </c>
    </row>
    <row r="6">
      <c r="A6" t="str">
        <v/>
      </c>
    </row>
    <row r="7">
      <c r="A7" t="str">
        <v>Scenario</v>
      </c>
      <c r="B7" t="str">
        <v>Lowest balance</v>
      </c>
      <c r="C7" t="str">
        <v>Ending balance</v>
      </c>
    </row>
    <row r="8">
      <c r="A8" t="str">
        <v>Base</v>
      </c>
      <c r="B8" s="2">
        <f>'Scenario Base'!J3</f>
      </c>
      <c r="C8" s="2">
        <f>'Scenario Base'!J4</f>
      </c>
    </row>
    <row r="9">
      <c r="A9" t="str">
        <v>Conservative</v>
      </c>
      <c r="B9" s="2">
        <f>'Scenario Conservative'!J3</f>
      </c>
      <c r="C9" s="2">
        <f>'Scenario Conservative'!J4</f>
      </c>
    </row>
    <row r="10">
      <c r="A10" t="str">
        <v>Optimistic</v>
      </c>
      <c r="B10" s="2">
        <f>'Scenario Optimistic'!J3</f>
      </c>
      <c r="C10" s="2">
        <f>'Scenario Optimistic'!J4</f>
      </c>
    </row>
  </sheetData>
  <ignoredErrors>
    <ignoredError numberStoredAsText="1" sqref="A1:C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20.83203125" customWidth="1"/>
    <col min="5" max="5" width="20.83203125" customWidth="1"/>
    <col min="6" max="6" width="14.83203125" customWidth="1"/>
    <col min="7" max="7" width="16.83203125" customWidth="1"/>
    <col min="8" max="8" width="18.83203125" customWidth="1"/>
    <col min="9" max="9" width="4.83203125" customWidth="1"/>
    <col min="10" max="10" width="18.83203125" customWidth="1"/>
  </cols>
  <sheetData>
    <row r="1">
      <c r="A1" t="str">
        <v>Scenario planner</v>
      </c>
    </row>
    <row r="2">
      <c r="A2" t="str">
        <v>Income multiplier</v>
      </c>
      <c r="B2">
        <v>1</v>
      </c>
    </row>
    <row r="3">
      <c r="A3" t="str">
        <v>Lowest balance</v>
      </c>
      <c r="B3" s="2">
        <f>MINIFS(G9:G26,G9:G26,"&lt;&gt;")</f>
      </c>
    </row>
    <row r="4">
      <c r="A4" t="str">
        <v>Ending balance</v>
      </c>
      <c r="B4" s="2">
        <f>LOOKUP(9.99999999999999E+307,G9:G26)</f>
      </c>
    </row>
    <row r="5">
      <c r="A5" t="str">
        <v>Expense multiplier</v>
      </c>
      <c r="B5">
        <v>1</v>
      </c>
    </row>
    <row r="6">
      <c r="A6" t="str">
        <v>Extra one-off buffer</v>
      </c>
      <c r="B6">
        <v>0</v>
      </c>
    </row>
    <row r="7">
      <c r="A7" t="str">
        <v/>
      </c>
    </row>
    <row r="8">
      <c r="A8" t="str">
        <v>Month</v>
      </c>
      <c r="B8" t="str">
        <v>Starting balance</v>
      </c>
      <c r="C8" t="str">
        <v>Recurring income</v>
      </c>
      <c r="D8" t="str">
        <v>Recurring expenses</v>
      </c>
      <c r="E8" t="str">
        <v>One-off adjustments</v>
      </c>
      <c r="F8" t="str">
        <v>Net change</v>
      </c>
      <c r="G8" t="str">
        <v>Ending balance</v>
      </c>
      <c r="H8" t="str">
        <v>Status</v>
      </c>
    </row>
    <row r="9">
      <c r="A9" s="1">
        <f>IF(ROW()-8&gt;Inputs!$B$4,"",EDATE(Inputs!$B$3,ROW()-9))</f>
      </c>
      <c r="B9" s="2">
        <f>IF(A9="","",Inputs!$B$2)</f>
      </c>
      <c r="C9" s="2">
        <f>IF(A9="","",'Forecast Timeline'!C2*$B$2)</f>
      </c>
      <c r="D9" s="2">
        <f>IF(A9="","",'Forecast Timeline'!D2*$B$5)</f>
      </c>
      <c r="E9" s="2">
        <f>IF(A9="","",'Forecast Timeline'!E2+$B$6)</f>
      </c>
      <c r="F9" s="2">
        <f>IF(A9="","",C9-D9+E9)</f>
      </c>
      <c r="G9" s="2">
        <f>IF(A9="","",B9+F9)</f>
      </c>
      <c r="H9">
        <f>IF(A9="","",IF(G9&lt;Inputs!$B$5,"Below threshold","Healthy"))</f>
      </c>
    </row>
    <row r="10">
      <c r="A10" s="1">
        <f>IF(ROW()-8&gt;Inputs!$B$4,"",EDATE(Inputs!$B$3,ROW()-9))</f>
      </c>
      <c r="B10" s="2">
        <f>IF(A10="","",G9)</f>
      </c>
      <c r="C10" s="2">
        <f>IF(A10="","",'Forecast Timeline'!C3*$B$2)</f>
      </c>
      <c r="D10" s="2">
        <f>IF(A10="","",'Forecast Timeline'!D3*$B$5)</f>
      </c>
      <c r="E10" s="2">
        <f>IF(A10="","",'Forecast Timeline'!E3+$B$6)</f>
      </c>
      <c r="F10" s="2">
        <f>IF(A10="","",C10-D10+E10)</f>
      </c>
      <c r="G10" s="2">
        <f>IF(A10="","",B10+F10)</f>
      </c>
      <c r="H10">
        <f>IF(A10="","",IF(G10&lt;Inputs!$B$5,"Below threshold","Healthy"))</f>
      </c>
    </row>
    <row r="11">
      <c r="A11" s="1">
        <f>IF(ROW()-8&gt;Inputs!$B$4,"",EDATE(Inputs!$B$3,ROW()-9))</f>
      </c>
      <c r="B11" s="2">
        <f>IF(A11="","",G10)</f>
      </c>
      <c r="C11" s="2">
        <f>IF(A11="","",'Forecast Timeline'!C4*$B$2)</f>
      </c>
      <c r="D11" s="2">
        <f>IF(A11="","",'Forecast Timeline'!D4*$B$5)</f>
      </c>
      <c r="E11" s="2">
        <f>IF(A11="","",'Forecast Timeline'!E4+$B$6)</f>
      </c>
      <c r="F11" s="2">
        <f>IF(A11="","",C11-D11+E11)</f>
      </c>
      <c r="G11" s="2">
        <f>IF(A11="","",B11+F11)</f>
      </c>
      <c r="H11">
        <f>IF(A11="","",IF(G11&lt;Inputs!$B$5,"Below threshold","Healthy"))</f>
      </c>
    </row>
    <row r="12">
      <c r="A12" s="1">
        <f>IF(ROW()-8&gt;Inputs!$B$4,"",EDATE(Inputs!$B$3,ROW()-9))</f>
      </c>
      <c r="B12" s="2">
        <f>IF(A12="","",G11)</f>
      </c>
      <c r="C12" s="2">
        <f>IF(A12="","",'Forecast Timeline'!C5*$B$2)</f>
      </c>
      <c r="D12" s="2">
        <f>IF(A12="","",'Forecast Timeline'!D5*$B$5)</f>
      </c>
      <c r="E12" s="2">
        <f>IF(A12="","",'Forecast Timeline'!E5+$B$6)</f>
      </c>
      <c r="F12" s="2">
        <f>IF(A12="","",C12-D12+E12)</f>
      </c>
      <c r="G12" s="2">
        <f>IF(A12="","",B12+F12)</f>
      </c>
      <c r="H12">
        <f>IF(A12="","",IF(G12&lt;Inputs!$B$5,"Below threshold","Healthy"))</f>
      </c>
    </row>
    <row r="13">
      <c r="A13" s="1">
        <f>IF(ROW()-8&gt;Inputs!$B$4,"",EDATE(Inputs!$B$3,ROW()-9))</f>
      </c>
      <c r="B13" s="2">
        <f>IF(A13="","",G12)</f>
      </c>
      <c r="C13" s="2">
        <f>IF(A13="","",'Forecast Timeline'!C6*$B$2)</f>
      </c>
      <c r="D13" s="2">
        <f>IF(A13="","",'Forecast Timeline'!D6*$B$5)</f>
      </c>
      <c r="E13" s="2">
        <f>IF(A13="","",'Forecast Timeline'!E6+$B$6)</f>
      </c>
      <c r="F13" s="2">
        <f>IF(A13="","",C13-D13+E13)</f>
      </c>
      <c r="G13" s="2">
        <f>IF(A13="","",B13+F13)</f>
      </c>
      <c r="H13">
        <f>IF(A13="","",IF(G13&lt;Inputs!$B$5,"Below threshold","Healthy"))</f>
      </c>
    </row>
    <row r="14">
      <c r="A14" s="1">
        <f>IF(ROW()-8&gt;Inputs!$B$4,"",EDATE(Inputs!$B$3,ROW()-9))</f>
      </c>
      <c r="B14" s="2">
        <f>IF(A14="","",G13)</f>
      </c>
      <c r="C14" s="2">
        <f>IF(A14="","",'Forecast Timeline'!C7*$B$2)</f>
      </c>
      <c r="D14" s="2">
        <f>IF(A14="","",'Forecast Timeline'!D7*$B$5)</f>
      </c>
      <c r="E14" s="2">
        <f>IF(A14="","",'Forecast Timeline'!E7+$B$6)</f>
      </c>
      <c r="F14" s="2">
        <f>IF(A14="","",C14-D14+E14)</f>
      </c>
      <c r="G14" s="2">
        <f>IF(A14="","",B14+F14)</f>
      </c>
      <c r="H14">
        <f>IF(A14="","",IF(G14&lt;Inputs!$B$5,"Below threshold","Healthy"))</f>
      </c>
    </row>
    <row r="15">
      <c r="A15" s="1">
        <f>IF(ROW()-8&gt;Inputs!$B$4,"",EDATE(Inputs!$B$3,ROW()-9))</f>
      </c>
      <c r="B15" s="2">
        <f>IF(A15="","",G14)</f>
      </c>
      <c r="C15" s="2">
        <f>IF(A15="","",'Forecast Timeline'!C8*$B$2)</f>
      </c>
      <c r="D15" s="2">
        <f>IF(A15="","",'Forecast Timeline'!D8*$B$5)</f>
      </c>
      <c r="E15" s="2">
        <f>IF(A15="","",'Forecast Timeline'!E8+$B$6)</f>
      </c>
      <c r="F15" s="2">
        <f>IF(A15="","",C15-D15+E15)</f>
      </c>
      <c r="G15" s="2">
        <f>IF(A15="","",B15+F15)</f>
      </c>
      <c r="H15">
        <f>IF(A15="","",IF(G15&lt;Inputs!$B$5,"Below threshold","Healthy"))</f>
      </c>
    </row>
    <row r="16">
      <c r="A16" s="1">
        <f>IF(ROW()-8&gt;Inputs!$B$4,"",EDATE(Inputs!$B$3,ROW()-9))</f>
      </c>
      <c r="B16" s="2">
        <f>IF(A16="","",G15)</f>
      </c>
      <c r="C16" s="2">
        <f>IF(A16="","",'Forecast Timeline'!C9*$B$2)</f>
      </c>
      <c r="D16" s="2">
        <f>IF(A16="","",'Forecast Timeline'!D9*$B$5)</f>
      </c>
      <c r="E16" s="2">
        <f>IF(A16="","",'Forecast Timeline'!E9+$B$6)</f>
      </c>
      <c r="F16" s="2">
        <f>IF(A16="","",C16-D16+E16)</f>
      </c>
      <c r="G16" s="2">
        <f>IF(A16="","",B16+F16)</f>
      </c>
      <c r="H16">
        <f>IF(A16="","",IF(G16&lt;Inputs!$B$5,"Below threshold","Healthy"))</f>
      </c>
    </row>
    <row r="17">
      <c r="A17" s="1">
        <f>IF(ROW()-8&gt;Inputs!$B$4,"",EDATE(Inputs!$B$3,ROW()-9))</f>
      </c>
      <c r="B17" s="2">
        <f>IF(A17="","",G16)</f>
      </c>
      <c r="C17" s="2">
        <f>IF(A17="","",'Forecast Timeline'!C10*$B$2)</f>
      </c>
      <c r="D17" s="2">
        <f>IF(A17="","",'Forecast Timeline'!D10*$B$5)</f>
      </c>
      <c r="E17" s="2">
        <f>IF(A17="","",'Forecast Timeline'!E10+$B$6)</f>
      </c>
      <c r="F17" s="2">
        <f>IF(A17="","",C17-D17+E17)</f>
      </c>
      <c r="G17" s="2">
        <f>IF(A17="","",B17+F17)</f>
      </c>
      <c r="H17">
        <f>IF(A17="","",IF(G17&lt;Inputs!$B$5,"Below threshold","Healthy"))</f>
      </c>
    </row>
    <row r="18">
      <c r="A18" s="1">
        <f>IF(ROW()-8&gt;Inputs!$B$4,"",EDATE(Inputs!$B$3,ROW()-9))</f>
      </c>
      <c r="B18" s="2">
        <f>IF(A18="","",G17)</f>
      </c>
      <c r="C18" s="2">
        <f>IF(A18="","",'Forecast Timeline'!C11*$B$2)</f>
      </c>
      <c r="D18" s="2">
        <f>IF(A18="","",'Forecast Timeline'!D11*$B$5)</f>
      </c>
      <c r="E18" s="2">
        <f>IF(A18="","",'Forecast Timeline'!E11+$B$6)</f>
      </c>
      <c r="F18" s="2">
        <f>IF(A18="","",C18-D18+E18)</f>
      </c>
      <c r="G18" s="2">
        <f>IF(A18="","",B18+F18)</f>
      </c>
      <c r="H18">
        <f>IF(A18="","",IF(G18&lt;Inputs!$B$5,"Below threshold","Healthy"))</f>
      </c>
    </row>
    <row r="19">
      <c r="A19" s="1">
        <f>IF(ROW()-8&gt;Inputs!$B$4,"",EDATE(Inputs!$B$3,ROW()-9))</f>
      </c>
      <c r="B19" s="2">
        <f>IF(A19="","",G18)</f>
      </c>
      <c r="C19" s="2">
        <f>IF(A19="","",'Forecast Timeline'!C12*$B$2)</f>
      </c>
      <c r="D19" s="2">
        <f>IF(A19="","",'Forecast Timeline'!D12*$B$5)</f>
      </c>
      <c r="E19" s="2">
        <f>IF(A19="","",'Forecast Timeline'!E12+$B$6)</f>
      </c>
      <c r="F19" s="2">
        <f>IF(A19="","",C19-D19+E19)</f>
      </c>
      <c r="G19" s="2">
        <f>IF(A19="","",B19+F19)</f>
      </c>
      <c r="H19">
        <f>IF(A19="","",IF(G19&lt;Inputs!$B$5,"Below threshold","Healthy"))</f>
      </c>
    </row>
    <row r="20">
      <c r="A20" s="1">
        <f>IF(ROW()-8&gt;Inputs!$B$4,"",EDATE(Inputs!$B$3,ROW()-9))</f>
      </c>
      <c r="B20" s="2">
        <f>IF(A20="","",G19)</f>
      </c>
      <c r="C20" s="2">
        <f>IF(A20="","",'Forecast Timeline'!C13*$B$2)</f>
      </c>
      <c r="D20" s="2">
        <f>IF(A20="","",'Forecast Timeline'!D13*$B$5)</f>
      </c>
      <c r="E20" s="2">
        <f>IF(A20="","",'Forecast Timeline'!E13+$B$6)</f>
      </c>
      <c r="F20" s="2">
        <f>IF(A20="","",C20-D20+E20)</f>
      </c>
      <c r="G20" s="2">
        <f>IF(A20="","",B20+F20)</f>
      </c>
      <c r="H20">
        <f>IF(A20="","",IF(G20&lt;Inputs!$B$5,"Below threshold","Healthy"))</f>
      </c>
    </row>
    <row r="21">
      <c r="A21" s="1">
        <f>IF(ROW()-8&gt;Inputs!$B$4,"",EDATE(Inputs!$B$3,ROW()-9))</f>
      </c>
      <c r="B21" s="2">
        <f>IF(A21="","",G20)</f>
      </c>
      <c r="C21" s="2">
        <f>IF(A21="","",'Forecast Timeline'!C14*$B$2)</f>
      </c>
      <c r="D21" s="2">
        <f>IF(A21="","",'Forecast Timeline'!D14*$B$5)</f>
      </c>
      <c r="E21" s="2">
        <f>IF(A21="","",'Forecast Timeline'!E14+$B$6)</f>
      </c>
      <c r="F21" s="2">
        <f>IF(A21="","",C21-D21+E21)</f>
      </c>
      <c r="G21" s="2">
        <f>IF(A21="","",B21+F21)</f>
      </c>
      <c r="H21">
        <f>IF(A21="","",IF(G21&lt;Inputs!$B$5,"Below threshold","Healthy"))</f>
      </c>
    </row>
    <row r="22">
      <c r="A22" s="1">
        <f>IF(ROW()-8&gt;Inputs!$B$4,"",EDATE(Inputs!$B$3,ROW()-9))</f>
      </c>
      <c r="B22" s="2">
        <f>IF(A22="","",G21)</f>
      </c>
      <c r="C22" s="2">
        <f>IF(A22="","",'Forecast Timeline'!C15*$B$2)</f>
      </c>
      <c r="D22" s="2">
        <f>IF(A22="","",'Forecast Timeline'!D15*$B$5)</f>
      </c>
      <c r="E22" s="2">
        <f>IF(A22="","",'Forecast Timeline'!E15+$B$6)</f>
      </c>
      <c r="F22" s="2">
        <f>IF(A22="","",C22-D22+E22)</f>
      </c>
      <c r="G22" s="2">
        <f>IF(A22="","",B22+F22)</f>
      </c>
      <c r="H22">
        <f>IF(A22="","",IF(G22&lt;Inputs!$B$5,"Below threshold","Healthy"))</f>
      </c>
    </row>
    <row r="23">
      <c r="A23" s="1">
        <f>IF(ROW()-8&gt;Inputs!$B$4,"",EDATE(Inputs!$B$3,ROW()-9))</f>
      </c>
      <c r="B23" s="2">
        <f>IF(A23="","",G22)</f>
      </c>
      <c r="C23" s="2">
        <f>IF(A23="","",'Forecast Timeline'!C16*$B$2)</f>
      </c>
      <c r="D23" s="2">
        <f>IF(A23="","",'Forecast Timeline'!D16*$B$5)</f>
      </c>
      <c r="E23" s="2">
        <f>IF(A23="","",'Forecast Timeline'!E16+$B$6)</f>
      </c>
      <c r="F23" s="2">
        <f>IF(A23="","",C23-D23+E23)</f>
      </c>
      <c r="G23" s="2">
        <f>IF(A23="","",B23+F23)</f>
      </c>
      <c r="H23">
        <f>IF(A23="","",IF(G23&lt;Inputs!$B$5,"Below threshold","Healthy"))</f>
      </c>
    </row>
    <row r="24">
      <c r="A24" s="1">
        <f>IF(ROW()-8&gt;Inputs!$B$4,"",EDATE(Inputs!$B$3,ROW()-9))</f>
      </c>
      <c r="B24" s="2">
        <f>IF(A24="","",G23)</f>
      </c>
      <c r="C24" s="2">
        <f>IF(A24="","",'Forecast Timeline'!C17*$B$2)</f>
      </c>
      <c r="D24" s="2">
        <f>IF(A24="","",'Forecast Timeline'!D17*$B$5)</f>
      </c>
      <c r="E24" s="2">
        <f>IF(A24="","",'Forecast Timeline'!E17+$B$6)</f>
      </c>
      <c r="F24" s="2">
        <f>IF(A24="","",C24-D24+E24)</f>
      </c>
      <c r="G24" s="2">
        <f>IF(A24="","",B24+F24)</f>
      </c>
      <c r="H24">
        <f>IF(A24="","",IF(G24&lt;Inputs!$B$5,"Below threshold","Healthy"))</f>
      </c>
    </row>
    <row r="25">
      <c r="A25" s="1">
        <f>IF(ROW()-8&gt;Inputs!$B$4,"",EDATE(Inputs!$B$3,ROW()-9))</f>
      </c>
      <c r="B25" s="2">
        <f>IF(A25="","",G24)</f>
      </c>
      <c r="C25" s="2">
        <f>IF(A25="","",'Forecast Timeline'!C18*$B$2)</f>
      </c>
      <c r="D25" s="2">
        <f>IF(A25="","",'Forecast Timeline'!D18*$B$5)</f>
      </c>
      <c r="E25" s="2">
        <f>IF(A25="","",'Forecast Timeline'!E18+$B$6)</f>
      </c>
      <c r="F25" s="2">
        <f>IF(A25="","",C25-D25+E25)</f>
      </c>
      <c r="G25" s="2">
        <f>IF(A25="","",B25+F25)</f>
      </c>
      <c r="H25">
        <f>IF(A25="","",IF(G25&lt;Inputs!$B$5,"Below threshold","Healthy"))</f>
      </c>
    </row>
    <row r="26">
      <c r="A26" s="1">
        <f>IF(ROW()-8&gt;Inputs!$B$4,"",EDATE(Inputs!$B$3,ROW()-9))</f>
      </c>
      <c r="B26" s="2">
        <f>IF(A26="","",G25)</f>
      </c>
      <c r="C26" s="2">
        <f>IF(A26="","",'Forecast Timeline'!C19*$B$2)</f>
      </c>
      <c r="D26" s="2">
        <f>IF(A26="","",'Forecast Timeline'!D19*$B$5)</f>
      </c>
      <c r="E26" s="2">
        <f>IF(A26="","",'Forecast Timeline'!E19+$B$6)</f>
      </c>
      <c r="F26" s="2">
        <f>IF(A26="","",C26-D26+E26)</f>
      </c>
      <c r="G26" s="2">
        <f>IF(A26="","",B26+F26)</f>
      </c>
      <c r="H26">
        <f>IF(A26="","",IF(G26&lt;Inputs!$B$5,"Below threshold","Healthy"))</f>
      </c>
    </row>
  </sheetData>
  <ignoredErrors>
    <ignoredError numberStoredAsText="1" sqref="A1:H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20.83203125" customWidth="1"/>
    <col min="5" max="5" width="20.83203125" customWidth="1"/>
    <col min="6" max="6" width="14.83203125" customWidth="1"/>
    <col min="7" max="7" width="16.83203125" customWidth="1"/>
    <col min="8" max="8" width="18.83203125" customWidth="1"/>
    <col min="9" max="9" width="4.83203125" customWidth="1"/>
    <col min="10" max="10" width="18.83203125" customWidth="1"/>
  </cols>
  <sheetData>
    <row r="1">
      <c r="A1" t="str">
        <v>Scenario planner</v>
      </c>
    </row>
    <row r="2">
      <c r="A2" t="str">
        <v>Income multiplier</v>
      </c>
      <c r="B2">
        <v>0.85</v>
      </c>
    </row>
    <row r="3">
      <c r="A3" t="str">
        <v>Lowest balance</v>
      </c>
      <c r="B3" s="2">
        <f>MINIFS(G9:G26,G9:G26,"&lt;&gt;")</f>
      </c>
    </row>
    <row r="4">
      <c r="A4" t="str">
        <v>Ending balance</v>
      </c>
      <c r="B4" s="2">
        <f>LOOKUP(9.99999999999999E+307,G9:G26)</f>
      </c>
    </row>
    <row r="5">
      <c r="A5" t="str">
        <v>Expense multiplier</v>
      </c>
      <c r="B5">
        <v>1.1</v>
      </c>
    </row>
    <row r="6">
      <c r="A6" t="str">
        <v>Extra one-off buffer</v>
      </c>
      <c r="B6">
        <v>-250</v>
      </c>
    </row>
    <row r="7">
      <c r="A7" t="str">
        <v/>
      </c>
    </row>
    <row r="8">
      <c r="A8" t="str">
        <v>Month</v>
      </c>
      <c r="B8" t="str">
        <v>Starting balance</v>
      </c>
      <c r="C8" t="str">
        <v>Recurring income</v>
      </c>
      <c r="D8" t="str">
        <v>Recurring expenses</v>
      </c>
      <c r="E8" t="str">
        <v>One-off adjustments</v>
      </c>
      <c r="F8" t="str">
        <v>Net change</v>
      </c>
      <c r="G8" t="str">
        <v>Ending balance</v>
      </c>
      <c r="H8" t="str">
        <v>Status</v>
      </c>
    </row>
    <row r="9">
      <c r="A9" s="1">
        <f>IF(ROW()-8&gt;Inputs!$B$4,"",EDATE(Inputs!$B$3,ROW()-9))</f>
      </c>
      <c r="B9" s="2">
        <f>IF(A9="","",Inputs!$B$2)</f>
      </c>
      <c r="C9" s="2">
        <f>IF(A9="","",'Forecast Timeline'!C2*$B$2)</f>
      </c>
      <c r="D9" s="2">
        <f>IF(A9="","",'Forecast Timeline'!D2*$B$5)</f>
      </c>
      <c r="E9" s="2">
        <f>IF(A9="","",'Forecast Timeline'!E2+$B$6)</f>
      </c>
      <c r="F9" s="2">
        <f>IF(A9="","",C9-D9+E9)</f>
      </c>
      <c r="G9" s="2">
        <f>IF(A9="","",B9+F9)</f>
      </c>
      <c r="H9">
        <f>IF(A9="","",IF(G9&lt;Inputs!$B$5,"Below threshold","Healthy"))</f>
      </c>
    </row>
    <row r="10">
      <c r="A10" s="1">
        <f>IF(ROW()-8&gt;Inputs!$B$4,"",EDATE(Inputs!$B$3,ROW()-9))</f>
      </c>
      <c r="B10" s="2">
        <f>IF(A10="","",G9)</f>
      </c>
      <c r="C10" s="2">
        <f>IF(A10="","",'Forecast Timeline'!C3*$B$2)</f>
      </c>
      <c r="D10" s="2">
        <f>IF(A10="","",'Forecast Timeline'!D3*$B$5)</f>
      </c>
      <c r="E10" s="2">
        <f>IF(A10="","",'Forecast Timeline'!E3+$B$6)</f>
      </c>
      <c r="F10" s="2">
        <f>IF(A10="","",C10-D10+E10)</f>
      </c>
      <c r="G10" s="2">
        <f>IF(A10="","",B10+F10)</f>
      </c>
      <c r="H10">
        <f>IF(A10="","",IF(G10&lt;Inputs!$B$5,"Below threshold","Healthy"))</f>
      </c>
    </row>
    <row r="11">
      <c r="A11" s="1">
        <f>IF(ROW()-8&gt;Inputs!$B$4,"",EDATE(Inputs!$B$3,ROW()-9))</f>
      </c>
      <c r="B11" s="2">
        <f>IF(A11="","",G10)</f>
      </c>
      <c r="C11" s="2">
        <f>IF(A11="","",'Forecast Timeline'!C4*$B$2)</f>
      </c>
      <c r="D11" s="2">
        <f>IF(A11="","",'Forecast Timeline'!D4*$B$5)</f>
      </c>
      <c r="E11" s="2">
        <f>IF(A11="","",'Forecast Timeline'!E4+$B$6)</f>
      </c>
      <c r="F11" s="2">
        <f>IF(A11="","",C11-D11+E11)</f>
      </c>
      <c r="G11" s="2">
        <f>IF(A11="","",B11+F11)</f>
      </c>
      <c r="H11">
        <f>IF(A11="","",IF(G11&lt;Inputs!$B$5,"Below threshold","Healthy"))</f>
      </c>
    </row>
    <row r="12">
      <c r="A12" s="1">
        <f>IF(ROW()-8&gt;Inputs!$B$4,"",EDATE(Inputs!$B$3,ROW()-9))</f>
      </c>
      <c r="B12" s="2">
        <f>IF(A12="","",G11)</f>
      </c>
      <c r="C12" s="2">
        <f>IF(A12="","",'Forecast Timeline'!C5*$B$2)</f>
      </c>
      <c r="D12" s="2">
        <f>IF(A12="","",'Forecast Timeline'!D5*$B$5)</f>
      </c>
      <c r="E12" s="2">
        <f>IF(A12="","",'Forecast Timeline'!E5+$B$6)</f>
      </c>
      <c r="F12" s="2">
        <f>IF(A12="","",C12-D12+E12)</f>
      </c>
      <c r="G12" s="2">
        <f>IF(A12="","",B12+F12)</f>
      </c>
      <c r="H12">
        <f>IF(A12="","",IF(G12&lt;Inputs!$B$5,"Below threshold","Healthy"))</f>
      </c>
    </row>
    <row r="13">
      <c r="A13" s="1">
        <f>IF(ROW()-8&gt;Inputs!$B$4,"",EDATE(Inputs!$B$3,ROW()-9))</f>
      </c>
      <c r="B13" s="2">
        <f>IF(A13="","",G12)</f>
      </c>
      <c r="C13" s="2">
        <f>IF(A13="","",'Forecast Timeline'!C6*$B$2)</f>
      </c>
      <c r="D13" s="2">
        <f>IF(A13="","",'Forecast Timeline'!D6*$B$5)</f>
      </c>
      <c r="E13" s="2">
        <f>IF(A13="","",'Forecast Timeline'!E6+$B$6)</f>
      </c>
      <c r="F13" s="2">
        <f>IF(A13="","",C13-D13+E13)</f>
      </c>
      <c r="G13" s="2">
        <f>IF(A13="","",B13+F13)</f>
      </c>
      <c r="H13">
        <f>IF(A13="","",IF(G13&lt;Inputs!$B$5,"Below threshold","Healthy"))</f>
      </c>
    </row>
    <row r="14">
      <c r="A14" s="1">
        <f>IF(ROW()-8&gt;Inputs!$B$4,"",EDATE(Inputs!$B$3,ROW()-9))</f>
      </c>
      <c r="B14" s="2">
        <f>IF(A14="","",G13)</f>
      </c>
      <c r="C14" s="2">
        <f>IF(A14="","",'Forecast Timeline'!C7*$B$2)</f>
      </c>
      <c r="D14" s="2">
        <f>IF(A14="","",'Forecast Timeline'!D7*$B$5)</f>
      </c>
      <c r="E14" s="2">
        <f>IF(A14="","",'Forecast Timeline'!E7+$B$6)</f>
      </c>
      <c r="F14" s="2">
        <f>IF(A14="","",C14-D14+E14)</f>
      </c>
      <c r="G14" s="2">
        <f>IF(A14="","",B14+F14)</f>
      </c>
      <c r="H14">
        <f>IF(A14="","",IF(G14&lt;Inputs!$B$5,"Below threshold","Healthy"))</f>
      </c>
    </row>
    <row r="15">
      <c r="A15" s="1">
        <f>IF(ROW()-8&gt;Inputs!$B$4,"",EDATE(Inputs!$B$3,ROW()-9))</f>
      </c>
      <c r="B15" s="2">
        <f>IF(A15="","",G14)</f>
      </c>
      <c r="C15" s="2">
        <f>IF(A15="","",'Forecast Timeline'!C8*$B$2)</f>
      </c>
      <c r="D15" s="2">
        <f>IF(A15="","",'Forecast Timeline'!D8*$B$5)</f>
      </c>
      <c r="E15" s="2">
        <f>IF(A15="","",'Forecast Timeline'!E8+$B$6)</f>
      </c>
      <c r="F15" s="2">
        <f>IF(A15="","",C15-D15+E15)</f>
      </c>
      <c r="G15" s="2">
        <f>IF(A15="","",B15+F15)</f>
      </c>
      <c r="H15">
        <f>IF(A15="","",IF(G15&lt;Inputs!$B$5,"Below threshold","Healthy"))</f>
      </c>
    </row>
    <row r="16">
      <c r="A16" s="1">
        <f>IF(ROW()-8&gt;Inputs!$B$4,"",EDATE(Inputs!$B$3,ROW()-9))</f>
      </c>
      <c r="B16" s="2">
        <f>IF(A16="","",G15)</f>
      </c>
      <c r="C16" s="2">
        <f>IF(A16="","",'Forecast Timeline'!C9*$B$2)</f>
      </c>
      <c r="D16" s="2">
        <f>IF(A16="","",'Forecast Timeline'!D9*$B$5)</f>
      </c>
      <c r="E16" s="2">
        <f>IF(A16="","",'Forecast Timeline'!E9+$B$6)</f>
      </c>
      <c r="F16" s="2">
        <f>IF(A16="","",C16-D16+E16)</f>
      </c>
      <c r="G16" s="2">
        <f>IF(A16="","",B16+F16)</f>
      </c>
      <c r="H16">
        <f>IF(A16="","",IF(G16&lt;Inputs!$B$5,"Below threshold","Healthy"))</f>
      </c>
    </row>
    <row r="17">
      <c r="A17" s="1">
        <f>IF(ROW()-8&gt;Inputs!$B$4,"",EDATE(Inputs!$B$3,ROW()-9))</f>
      </c>
      <c r="B17" s="2">
        <f>IF(A17="","",G16)</f>
      </c>
      <c r="C17" s="2">
        <f>IF(A17="","",'Forecast Timeline'!C10*$B$2)</f>
      </c>
      <c r="D17" s="2">
        <f>IF(A17="","",'Forecast Timeline'!D10*$B$5)</f>
      </c>
      <c r="E17" s="2">
        <f>IF(A17="","",'Forecast Timeline'!E10+$B$6)</f>
      </c>
      <c r="F17" s="2">
        <f>IF(A17="","",C17-D17+E17)</f>
      </c>
      <c r="G17" s="2">
        <f>IF(A17="","",B17+F17)</f>
      </c>
      <c r="H17">
        <f>IF(A17="","",IF(G17&lt;Inputs!$B$5,"Below threshold","Healthy"))</f>
      </c>
    </row>
    <row r="18">
      <c r="A18" s="1">
        <f>IF(ROW()-8&gt;Inputs!$B$4,"",EDATE(Inputs!$B$3,ROW()-9))</f>
      </c>
      <c r="B18" s="2">
        <f>IF(A18="","",G17)</f>
      </c>
      <c r="C18" s="2">
        <f>IF(A18="","",'Forecast Timeline'!C11*$B$2)</f>
      </c>
      <c r="D18" s="2">
        <f>IF(A18="","",'Forecast Timeline'!D11*$B$5)</f>
      </c>
      <c r="E18" s="2">
        <f>IF(A18="","",'Forecast Timeline'!E11+$B$6)</f>
      </c>
      <c r="F18" s="2">
        <f>IF(A18="","",C18-D18+E18)</f>
      </c>
      <c r="G18" s="2">
        <f>IF(A18="","",B18+F18)</f>
      </c>
      <c r="H18">
        <f>IF(A18="","",IF(G18&lt;Inputs!$B$5,"Below threshold","Healthy"))</f>
      </c>
    </row>
    <row r="19">
      <c r="A19" s="1">
        <f>IF(ROW()-8&gt;Inputs!$B$4,"",EDATE(Inputs!$B$3,ROW()-9))</f>
      </c>
      <c r="B19" s="2">
        <f>IF(A19="","",G18)</f>
      </c>
      <c r="C19" s="2">
        <f>IF(A19="","",'Forecast Timeline'!C12*$B$2)</f>
      </c>
      <c r="D19" s="2">
        <f>IF(A19="","",'Forecast Timeline'!D12*$B$5)</f>
      </c>
      <c r="E19" s="2">
        <f>IF(A19="","",'Forecast Timeline'!E12+$B$6)</f>
      </c>
      <c r="F19" s="2">
        <f>IF(A19="","",C19-D19+E19)</f>
      </c>
      <c r="G19" s="2">
        <f>IF(A19="","",B19+F19)</f>
      </c>
      <c r="H19">
        <f>IF(A19="","",IF(G19&lt;Inputs!$B$5,"Below threshold","Healthy"))</f>
      </c>
    </row>
    <row r="20">
      <c r="A20" s="1">
        <f>IF(ROW()-8&gt;Inputs!$B$4,"",EDATE(Inputs!$B$3,ROW()-9))</f>
      </c>
      <c r="B20" s="2">
        <f>IF(A20="","",G19)</f>
      </c>
      <c r="C20" s="2">
        <f>IF(A20="","",'Forecast Timeline'!C13*$B$2)</f>
      </c>
      <c r="D20" s="2">
        <f>IF(A20="","",'Forecast Timeline'!D13*$B$5)</f>
      </c>
      <c r="E20" s="2">
        <f>IF(A20="","",'Forecast Timeline'!E13+$B$6)</f>
      </c>
      <c r="F20" s="2">
        <f>IF(A20="","",C20-D20+E20)</f>
      </c>
      <c r="G20" s="2">
        <f>IF(A20="","",B20+F20)</f>
      </c>
      <c r="H20">
        <f>IF(A20="","",IF(G20&lt;Inputs!$B$5,"Below threshold","Healthy"))</f>
      </c>
    </row>
    <row r="21">
      <c r="A21" s="1">
        <f>IF(ROW()-8&gt;Inputs!$B$4,"",EDATE(Inputs!$B$3,ROW()-9))</f>
      </c>
      <c r="B21" s="2">
        <f>IF(A21="","",G20)</f>
      </c>
      <c r="C21" s="2">
        <f>IF(A21="","",'Forecast Timeline'!C14*$B$2)</f>
      </c>
      <c r="D21" s="2">
        <f>IF(A21="","",'Forecast Timeline'!D14*$B$5)</f>
      </c>
      <c r="E21" s="2">
        <f>IF(A21="","",'Forecast Timeline'!E14+$B$6)</f>
      </c>
      <c r="F21" s="2">
        <f>IF(A21="","",C21-D21+E21)</f>
      </c>
      <c r="G21" s="2">
        <f>IF(A21="","",B21+F21)</f>
      </c>
      <c r="H21">
        <f>IF(A21="","",IF(G21&lt;Inputs!$B$5,"Below threshold","Healthy"))</f>
      </c>
    </row>
    <row r="22">
      <c r="A22" s="1">
        <f>IF(ROW()-8&gt;Inputs!$B$4,"",EDATE(Inputs!$B$3,ROW()-9))</f>
      </c>
      <c r="B22" s="2">
        <f>IF(A22="","",G21)</f>
      </c>
      <c r="C22" s="2">
        <f>IF(A22="","",'Forecast Timeline'!C15*$B$2)</f>
      </c>
      <c r="D22" s="2">
        <f>IF(A22="","",'Forecast Timeline'!D15*$B$5)</f>
      </c>
      <c r="E22" s="2">
        <f>IF(A22="","",'Forecast Timeline'!E15+$B$6)</f>
      </c>
      <c r="F22" s="2">
        <f>IF(A22="","",C22-D22+E22)</f>
      </c>
      <c r="G22" s="2">
        <f>IF(A22="","",B22+F22)</f>
      </c>
      <c r="H22">
        <f>IF(A22="","",IF(G22&lt;Inputs!$B$5,"Below threshold","Healthy"))</f>
      </c>
    </row>
    <row r="23">
      <c r="A23" s="1">
        <f>IF(ROW()-8&gt;Inputs!$B$4,"",EDATE(Inputs!$B$3,ROW()-9))</f>
      </c>
      <c r="B23" s="2">
        <f>IF(A23="","",G22)</f>
      </c>
      <c r="C23" s="2">
        <f>IF(A23="","",'Forecast Timeline'!C16*$B$2)</f>
      </c>
      <c r="D23" s="2">
        <f>IF(A23="","",'Forecast Timeline'!D16*$B$5)</f>
      </c>
      <c r="E23" s="2">
        <f>IF(A23="","",'Forecast Timeline'!E16+$B$6)</f>
      </c>
      <c r="F23" s="2">
        <f>IF(A23="","",C23-D23+E23)</f>
      </c>
      <c r="G23" s="2">
        <f>IF(A23="","",B23+F23)</f>
      </c>
      <c r="H23">
        <f>IF(A23="","",IF(G23&lt;Inputs!$B$5,"Below threshold","Healthy"))</f>
      </c>
    </row>
    <row r="24">
      <c r="A24" s="1">
        <f>IF(ROW()-8&gt;Inputs!$B$4,"",EDATE(Inputs!$B$3,ROW()-9))</f>
      </c>
      <c r="B24" s="2">
        <f>IF(A24="","",G23)</f>
      </c>
      <c r="C24" s="2">
        <f>IF(A24="","",'Forecast Timeline'!C17*$B$2)</f>
      </c>
      <c r="D24" s="2">
        <f>IF(A24="","",'Forecast Timeline'!D17*$B$5)</f>
      </c>
      <c r="E24" s="2">
        <f>IF(A24="","",'Forecast Timeline'!E17+$B$6)</f>
      </c>
      <c r="F24" s="2">
        <f>IF(A24="","",C24-D24+E24)</f>
      </c>
      <c r="G24" s="2">
        <f>IF(A24="","",B24+F24)</f>
      </c>
      <c r="H24">
        <f>IF(A24="","",IF(G24&lt;Inputs!$B$5,"Below threshold","Healthy"))</f>
      </c>
    </row>
    <row r="25">
      <c r="A25" s="1">
        <f>IF(ROW()-8&gt;Inputs!$B$4,"",EDATE(Inputs!$B$3,ROW()-9))</f>
      </c>
      <c r="B25" s="2">
        <f>IF(A25="","",G24)</f>
      </c>
      <c r="C25" s="2">
        <f>IF(A25="","",'Forecast Timeline'!C18*$B$2)</f>
      </c>
      <c r="D25" s="2">
        <f>IF(A25="","",'Forecast Timeline'!D18*$B$5)</f>
      </c>
      <c r="E25" s="2">
        <f>IF(A25="","",'Forecast Timeline'!E18+$B$6)</f>
      </c>
      <c r="F25" s="2">
        <f>IF(A25="","",C25-D25+E25)</f>
      </c>
      <c r="G25" s="2">
        <f>IF(A25="","",B25+F25)</f>
      </c>
      <c r="H25">
        <f>IF(A25="","",IF(G25&lt;Inputs!$B$5,"Below threshold","Healthy"))</f>
      </c>
    </row>
    <row r="26">
      <c r="A26" s="1">
        <f>IF(ROW()-8&gt;Inputs!$B$4,"",EDATE(Inputs!$B$3,ROW()-9))</f>
      </c>
      <c r="B26" s="2">
        <f>IF(A26="","",G25)</f>
      </c>
      <c r="C26" s="2">
        <f>IF(A26="","",'Forecast Timeline'!C19*$B$2)</f>
      </c>
      <c r="D26" s="2">
        <f>IF(A26="","",'Forecast Timeline'!D19*$B$5)</f>
      </c>
      <c r="E26" s="2">
        <f>IF(A26="","",'Forecast Timeline'!E19+$B$6)</f>
      </c>
      <c r="F26" s="2">
        <f>IF(A26="","",C26-D26+E26)</f>
      </c>
      <c r="G26" s="2">
        <f>IF(A26="","",B26+F26)</f>
      </c>
      <c r="H26">
        <f>IF(A26="","",IF(G26&lt;Inputs!$B$5,"Below threshold","Healthy"))</f>
      </c>
    </row>
  </sheetData>
  <ignoredErrors>
    <ignoredError numberStoredAsText="1" sqref="A1:H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20.83203125" customWidth="1"/>
    <col min="5" max="5" width="20.83203125" customWidth="1"/>
    <col min="6" max="6" width="14.83203125" customWidth="1"/>
    <col min="7" max="7" width="16.83203125" customWidth="1"/>
    <col min="8" max="8" width="18.83203125" customWidth="1"/>
    <col min="9" max="9" width="4.83203125" customWidth="1"/>
    <col min="10" max="10" width="18.83203125" customWidth="1"/>
  </cols>
  <sheetData>
    <row r="1">
      <c r="A1" t="str">
        <v>Scenario planner</v>
      </c>
    </row>
    <row r="2">
      <c r="A2" t="str">
        <v>Income multiplier</v>
      </c>
      <c r="B2">
        <v>1.1</v>
      </c>
    </row>
    <row r="3">
      <c r="A3" t="str">
        <v>Lowest balance</v>
      </c>
      <c r="B3" s="2">
        <f>MINIFS(G9:G26,G9:G26,"&lt;&gt;")</f>
      </c>
    </row>
    <row r="4">
      <c r="A4" t="str">
        <v>Ending balance</v>
      </c>
      <c r="B4" s="2">
        <f>LOOKUP(9.99999999999999E+307,G9:G26)</f>
      </c>
    </row>
    <row r="5">
      <c r="A5" t="str">
        <v>Expense multiplier</v>
      </c>
      <c r="B5">
        <v>0.95</v>
      </c>
    </row>
    <row r="6">
      <c r="A6" t="str">
        <v>Extra one-off buffer</v>
      </c>
      <c r="B6">
        <v>0</v>
      </c>
    </row>
    <row r="7">
      <c r="A7" t="str">
        <v/>
      </c>
    </row>
    <row r="8">
      <c r="A8" t="str">
        <v>Month</v>
      </c>
      <c r="B8" t="str">
        <v>Starting balance</v>
      </c>
      <c r="C8" t="str">
        <v>Recurring income</v>
      </c>
      <c r="D8" t="str">
        <v>Recurring expenses</v>
      </c>
      <c r="E8" t="str">
        <v>One-off adjustments</v>
      </c>
      <c r="F8" t="str">
        <v>Net change</v>
      </c>
      <c r="G8" t="str">
        <v>Ending balance</v>
      </c>
      <c r="H8" t="str">
        <v>Status</v>
      </c>
    </row>
    <row r="9">
      <c r="A9" s="1">
        <f>IF(ROW()-8&gt;Inputs!$B$4,"",EDATE(Inputs!$B$3,ROW()-9))</f>
      </c>
      <c r="B9" s="2">
        <f>IF(A9="","",Inputs!$B$2)</f>
      </c>
      <c r="C9" s="2">
        <f>IF(A9="","",'Forecast Timeline'!C2*$B$2)</f>
      </c>
      <c r="D9" s="2">
        <f>IF(A9="","",'Forecast Timeline'!D2*$B$5)</f>
      </c>
      <c r="E9" s="2">
        <f>IF(A9="","",'Forecast Timeline'!E2+$B$6)</f>
      </c>
      <c r="F9" s="2">
        <f>IF(A9="","",C9-D9+E9)</f>
      </c>
      <c r="G9" s="2">
        <f>IF(A9="","",B9+F9)</f>
      </c>
      <c r="H9">
        <f>IF(A9="","",IF(G9&lt;Inputs!$B$5,"Below threshold","Healthy"))</f>
      </c>
    </row>
    <row r="10">
      <c r="A10" s="1">
        <f>IF(ROW()-8&gt;Inputs!$B$4,"",EDATE(Inputs!$B$3,ROW()-9))</f>
      </c>
      <c r="B10" s="2">
        <f>IF(A10="","",G9)</f>
      </c>
      <c r="C10" s="2">
        <f>IF(A10="","",'Forecast Timeline'!C3*$B$2)</f>
      </c>
      <c r="D10" s="2">
        <f>IF(A10="","",'Forecast Timeline'!D3*$B$5)</f>
      </c>
      <c r="E10" s="2">
        <f>IF(A10="","",'Forecast Timeline'!E3+$B$6)</f>
      </c>
      <c r="F10" s="2">
        <f>IF(A10="","",C10-D10+E10)</f>
      </c>
      <c r="G10" s="2">
        <f>IF(A10="","",B10+F10)</f>
      </c>
      <c r="H10">
        <f>IF(A10="","",IF(G10&lt;Inputs!$B$5,"Below threshold","Healthy"))</f>
      </c>
    </row>
    <row r="11">
      <c r="A11" s="1">
        <f>IF(ROW()-8&gt;Inputs!$B$4,"",EDATE(Inputs!$B$3,ROW()-9))</f>
      </c>
      <c r="B11" s="2">
        <f>IF(A11="","",G10)</f>
      </c>
      <c r="C11" s="2">
        <f>IF(A11="","",'Forecast Timeline'!C4*$B$2)</f>
      </c>
      <c r="D11" s="2">
        <f>IF(A11="","",'Forecast Timeline'!D4*$B$5)</f>
      </c>
      <c r="E11" s="2">
        <f>IF(A11="","",'Forecast Timeline'!E4+$B$6)</f>
      </c>
      <c r="F11" s="2">
        <f>IF(A11="","",C11-D11+E11)</f>
      </c>
      <c r="G11" s="2">
        <f>IF(A11="","",B11+F11)</f>
      </c>
      <c r="H11">
        <f>IF(A11="","",IF(G11&lt;Inputs!$B$5,"Below threshold","Healthy"))</f>
      </c>
    </row>
    <row r="12">
      <c r="A12" s="1">
        <f>IF(ROW()-8&gt;Inputs!$B$4,"",EDATE(Inputs!$B$3,ROW()-9))</f>
      </c>
      <c r="B12" s="2">
        <f>IF(A12="","",G11)</f>
      </c>
      <c r="C12" s="2">
        <f>IF(A12="","",'Forecast Timeline'!C5*$B$2)</f>
      </c>
      <c r="D12" s="2">
        <f>IF(A12="","",'Forecast Timeline'!D5*$B$5)</f>
      </c>
      <c r="E12" s="2">
        <f>IF(A12="","",'Forecast Timeline'!E5+$B$6)</f>
      </c>
      <c r="F12" s="2">
        <f>IF(A12="","",C12-D12+E12)</f>
      </c>
      <c r="G12" s="2">
        <f>IF(A12="","",B12+F12)</f>
      </c>
      <c r="H12">
        <f>IF(A12="","",IF(G12&lt;Inputs!$B$5,"Below threshold","Healthy"))</f>
      </c>
    </row>
    <row r="13">
      <c r="A13" s="1">
        <f>IF(ROW()-8&gt;Inputs!$B$4,"",EDATE(Inputs!$B$3,ROW()-9))</f>
      </c>
      <c r="B13" s="2">
        <f>IF(A13="","",G12)</f>
      </c>
      <c r="C13" s="2">
        <f>IF(A13="","",'Forecast Timeline'!C6*$B$2)</f>
      </c>
      <c r="D13" s="2">
        <f>IF(A13="","",'Forecast Timeline'!D6*$B$5)</f>
      </c>
      <c r="E13" s="2">
        <f>IF(A13="","",'Forecast Timeline'!E6+$B$6)</f>
      </c>
      <c r="F13" s="2">
        <f>IF(A13="","",C13-D13+E13)</f>
      </c>
      <c r="G13" s="2">
        <f>IF(A13="","",B13+F13)</f>
      </c>
      <c r="H13">
        <f>IF(A13="","",IF(G13&lt;Inputs!$B$5,"Below threshold","Healthy"))</f>
      </c>
    </row>
    <row r="14">
      <c r="A14" s="1">
        <f>IF(ROW()-8&gt;Inputs!$B$4,"",EDATE(Inputs!$B$3,ROW()-9))</f>
      </c>
      <c r="B14" s="2">
        <f>IF(A14="","",G13)</f>
      </c>
      <c r="C14" s="2">
        <f>IF(A14="","",'Forecast Timeline'!C7*$B$2)</f>
      </c>
      <c r="D14" s="2">
        <f>IF(A14="","",'Forecast Timeline'!D7*$B$5)</f>
      </c>
      <c r="E14" s="2">
        <f>IF(A14="","",'Forecast Timeline'!E7+$B$6)</f>
      </c>
      <c r="F14" s="2">
        <f>IF(A14="","",C14-D14+E14)</f>
      </c>
      <c r="G14" s="2">
        <f>IF(A14="","",B14+F14)</f>
      </c>
      <c r="H14">
        <f>IF(A14="","",IF(G14&lt;Inputs!$B$5,"Below threshold","Healthy"))</f>
      </c>
    </row>
    <row r="15">
      <c r="A15" s="1">
        <f>IF(ROW()-8&gt;Inputs!$B$4,"",EDATE(Inputs!$B$3,ROW()-9))</f>
      </c>
      <c r="B15" s="2">
        <f>IF(A15="","",G14)</f>
      </c>
      <c r="C15" s="2">
        <f>IF(A15="","",'Forecast Timeline'!C8*$B$2)</f>
      </c>
      <c r="D15" s="2">
        <f>IF(A15="","",'Forecast Timeline'!D8*$B$5)</f>
      </c>
      <c r="E15" s="2">
        <f>IF(A15="","",'Forecast Timeline'!E8+$B$6)</f>
      </c>
      <c r="F15" s="2">
        <f>IF(A15="","",C15-D15+E15)</f>
      </c>
      <c r="G15" s="2">
        <f>IF(A15="","",B15+F15)</f>
      </c>
      <c r="H15">
        <f>IF(A15="","",IF(G15&lt;Inputs!$B$5,"Below threshold","Healthy"))</f>
      </c>
    </row>
    <row r="16">
      <c r="A16" s="1">
        <f>IF(ROW()-8&gt;Inputs!$B$4,"",EDATE(Inputs!$B$3,ROW()-9))</f>
      </c>
      <c r="B16" s="2">
        <f>IF(A16="","",G15)</f>
      </c>
      <c r="C16" s="2">
        <f>IF(A16="","",'Forecast Timeline'!C9*$B$2)</f>
      </c>
      <c r="D16" s="2">
        <f>IF(A16="","",'Forecast Timeline'!D9*$B$5)</f>
      </c>
      <c r="E16" s="2">
        <f>IF(A16="","",'Forecast Timeline'!E9+$B$6)</f>
      </c>
      <c r="F16" s="2">
        <f>IF(A16="","",C16-D16+E16)</f>
      </c>
      <c r="G16" s="2">
        <f>IF(A16="","",B16+F16)</f>
      </c>
      <c r="H16">
        <f>IF(A16="","",IF(G16&lt;Inputs!$B$5,"Below threshold","Healthy"))</f>
      </c>
    </row>
    <row r="17">
      <c r="A17" s="1">
        <f>IF(ROW()-8&gt;Inputs!$B$4,"",EDATE(Inputs!$B$3,ROW()-9))</f>
      </c>
      <c r="B17" s="2">
        <f>IF(A17="","",G16)</f>
      </c>
      <c r="C17" s="2">
        <f>IF(A17="","",'Forecast Timeline'!C10*$B$2)</f>
      </c>
      <c r="D17" s="2">
        <f>IF(A17="","",'Forecast Timeline'!D10*$B$5)</f>
      </c>
      <c r="E17" s="2">
        <f>IF(A17="","",'Forecast Timeline'!E10+$B$6)</f>
      </c>
      <c r="F17" s="2">
        <f>IF(A17="","",C17-D17+E17)</f>
      </c>
      <c r="G17" s="2">
        <f>IF(A17="","",B17+F17)</f>
      </c>
      <c r="H17">
        <f>IF(A17="","",IF(G17&lt;Inputs!$B$5,"Below threshold","Healthy"))</f>
      </c>
    </row>
    <row r="18">
      <c r="A18" s="1">
        <f>IF(ROW()-8&gt;Inputs!$B$4,"",EDATE(Inputs!$B$3,ROW()-9))</f>
      </c>
      <c r="B18" s="2">
        <f>IF(A18="","",G17)</f>
      </c>
      <c r="C18" s="2">
        <f>IF(A18="","",'Forecast Timeline'!C11*$B$2)</f>
      </c>
      <c r="D18" s="2">
        <f>IF(A18="","",'Forecast Timeline'!D11*$B$5)</f>
      </c>
      <c r="E18" s="2">
        <f>IF(A18="","",'Forecast Timeline'!E11+$B$6)</f>
      </c>
      <c r="F18" s="2">
        <f>IF(A18="","",C18-D18+E18)</f>
      </c>
      <c r="G18" s="2">
        <f>IF(A18="","",B18+F18)</f>
      </c>
      <c r="H18">
        <f>IF(A18="","",IF(G18&lt;Inputs!$B$5,"Below threshold","Healthy"))</f>
      </c>
    </row>
    <row r="19">
      <c r="A19" s="1">
        <f>IF(ROW()-8&gt;Inputs!$B$4,"",EDATE(Inputs!$B$3,ROW()-9))</f>
      </c>
      <c r="B19" s="2">
        <f>IF(A19="","",G18)</f>
      </c>
      <c r="C19" s="2">
        <f>IF(A19="","",'Forecast Timeline'!C12*$B$2)</f>
      </c>
      <c r="D19" s="2">
        <f>IF(A19="","",'Forecast Timeline'!D12*$B$5)</f>
      </c>
      <c r="E19" s="2">
        <f>IF(A19="","",'Forecast Timeline'!E12+$B$6)</f>
      </c>
      <c r="F19" s="2">
        <f>IF(A19="","",C19-D19+E19)</f>
      </c>
      <c r="G19" s="2">
        <f>IF(A19="","",B19+F19)</f>
      </c>
      <c r="H19">
        <f>IF(A19="","",IF(G19&lt;Inputs!$B$5,"Below threshold","Healthy"))</f>
      </c>
    </row>
    <row r="20">
      <c r="A20" s="1">
        <f>IF(ROW()-8&gt;Inputs!$B$4,"",EDATE(Inputs!$B$3,ROW()-9))</f>
      </c>
      <c r="B20" s="2">
        <f>IF(A20="","",G19)</f>
      </c>
      <c r="C20" s="2">
        <f>IF(A20="","",'Forecast Timeline'!C13*$B$2)</f>
      </c>
      <c r="D20" s="2">
        <f>IF(A20="","",'Forecast Timeline'!D13*$B$5)</f>
      </c>
      <c r="E20" s="2">
        <f>IF(A20="","",'Forecast Timeline'!E13+$B$6)</f>
      </c>
      <c r="F20" s="2">
        <f>IF(A20="","",C20-D20+E20)</f>
      </c>
      <c r="G20" s="2">
        <f>IF(A20="","",B20+F20)</f>
      </c>
      <c r="H20">
        <f>IF(A20="","",IF(G20&lt;Inputs!$B$5,"Below threshold","Healthy"))</f>
      </c>
    </row>
    <row r="21">
      <c r="A21" s="1">
        <f>IF(ROW()-8&gt;Inputs!$B$4,"",EDATE(Inputs!$B$3,ROW()-9))</f>
      </c>
      <c r="B21" s="2">
        <f>IF(A21="","",G20)</f>
      </c>
      <c r="C21" s="2">
        <f>IF(A21="","",'Forecast Timeline'!C14*$B$2)</f>
      </c>
      <c r="D21" s="2">
        <f>IF(A21="","",'Forecast Timeline'!D14*$B$5)</f>
      </c>
      <c r="E21" s="2">
        <f>IF(A21="","",'Forecast Timeline'!E14+$B$6)</f>
      </c>
      <c r="F21" s="2">
        <f>IF(A21="","",C21-D21+E21)</f>
      </c>
      <c r="G21" s="2">
        <f>IF(A21="","",B21+F21)</f>
      </c>
      <c r="H21">
        <f>IF(A21="","",IF(G21&lt;Inputs!$B$5,"Below threshold","Healthy"))</f>
      </c>
    </row>
    <row r="22">
      <c r="A22" s="1">
        <f>IF(ROW()-8&gt;Inputs!$B$4,"",EDATE(Inputs!$B$3,ROW()-9))</f>
      </c>
      <c r="B22" s="2">
        <f>IF(A22="","",G21)</f>
      </c>
      <c r="C22" s="2">
        <f>IF(A22="","",'Forecast Timeline'!C15*$B$2)</f>
      </c>
      <c r="D22" s="2">
        <f>IF(A22="","",'Forecast Timeline'!D15*$B$5)</f>
      </c>
      <c r="E22" s="2">
        <f>IF(A22="","",'Forecast Timeline'!E15+$B$6)</f>
      </c>
      <c r="F22" s="2">
        <f>IF(A22="","",C22-D22+E22)</f>
      </c>
      <c r="G22" s="2">
        <f>IF(A22="","",B22+F22)</f>
      </c>
      <c r="H22">
        <f>IF(A22="","",IF(G22&lt;Inputs!$B$5,"Below threshold","Healthy"))</f>
      </c>
    </row>
    <row r="23">
      <c r="A23" s="1">
        <f>IF(ROW()-8&gt;Inputs!$B$4,"",EDATE(Inputs!$B$3,ROW()-9))</f>
      </c>
      <c r="B23" s="2">
        <f>IF(A23="","",G22)</f>
      </c>
      <c r="C23" s="2">
        <f>IF(A23="","",'Forecast Timeline'!C16*$B$2)</f>
      </c>
      <c r="D23" s="2">
        <f>IF(A23="","",'Forecast Timeline'!D16*$B$5)</f>
      </c>
      <c r="E23" s="2">
        <f>IF(A23="","",'Forecast Timeline'!E16+$B$6)</f>
      </c>
      <c r="F23" s="2">
        <f>IF(A23="","",C23-D23+E23)</f>
      </c>
      <c r="G23" s="2">
        <f>IF(A23="","",B23+F23)</f>
      </c>
      <c r="H23">
        <f>IF(A23="","",IF(G23&lt;Inputs!$B$5,"Below threshold","Healthy"))</f>
      </c>
    </row>
    <row r="24">
      <c r="A24" s="1">
        <f>IF(ROW()-8&gt;Inputs!$B$4,"",EDATE(Inputs!$B$3,ROW()-9))</f>
      </c>
      <c r="B24" s="2">
        <f>IF(A24="","",G23)</f>
      </c>
      <c r="C24" s="2">
        <f>IF(A24="","",'Forecast Timeline'!C17*$B$2)</f>
      </c>
      <c r="D24" s="2">
        <f>IF(A24="","",'Forecast Timeline'!D17*$B$5)</f>
      </c>
      <c r="E24" s="2">
        <f>IF(A24="","",'Forecast Timeline'!E17+$B$6)</f>
      </c>
      <c r="F24" s="2">
        <f>IF(A24="","",C24-D24+E24)</f>
      </c>
      <c r="G24" s="2">
        <f>IF(A24="","",B24+F24)</f>
      </c>
      <c r="H24">
        <f>IF(A24="","",IF(G24&lt;Inputs!$B$5,"Below threshold","Healthy"))</f>
      </c>
    </row>
    <row r="25">
      <c r="A25" s="1">
        <f>IF(ROW()-8&gt;Inputs!$B$4,"",EDATE(Inputs!$B$3,ROW()-9))</f>
      </c>
      <c r="B25" s="2">
        <f>IF(A25="","",G24)</f>
      </c>
      <c r="C25" s="2">
        <f>IF(A25="","",'Forecast Timeline'!C18*$B$2)</f>
      </c>
      <c r="D25" s="2">
        <f>IF(A25="","",'Forecast Timeline'!D18*$B$5)</f>
      </c>
      <c r="E25" s="2">
        <f>IF(A25="","",'Forecast Timeline'!E18+$B$6)</f>
      </c>
      <c r="F25" s="2">
        <f>IF(A25="","",C25-D25+E25)</f>
      </c>
      <c r="G25" s="2">
        <f>IF(A25="","",B25+F25)</f>
      </c>
      <c r="H25">
        <f>IF(A25="","",IF(G25&lt;Inputs!$B$5,"Below threshold","Healthy"))</f>
      </c>
    </row>
    <row r="26">
      <c r="A26" s="1">
        <f>IF(ROW()-8&gt;Inputs!$B$4,"",EDATE(Inputs!$B$3,ROW()-9))</f>
      </c>
      <c r="B26" s="2">
        <f>IF(A26="","",G25)</f>
      </c>
      <c r="C26" s="2">
        <f>IF(A26="","",'Forecast Timeline'!C19*$B$2)</f>
      </c>
      <c r="D26" s="2">
        <f>IF(A26="","",'Forecast Timeline'!D19*$B$5)</f>
      </c>
      <c r="E26" s="2">
        <f>IF(A26="","",'Forecast Timeline'!E19+$B$6)</f>
      </c>
      <c r="F26" s="2">
        <f>IF(A26="","",C26-D26+E26)</f>
      </c>
      <c r="G26" s="2">
        <f>IF(A26="","",B26+F26)</f>
      </c>
      <c r="H26">
        <f>IF(A26="","",IF(G26&lt;Inputs!$B$5,"Below threshold","Healthy"))</f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Inputs</vt:lpstr>
      <vt:lpstr>Recurring Income</vt:lpstr>
      <vt:lpstr>Recurring Expenses</vt:lpstr>
      <vt:lpstr>One-Off Adjustments</vt:lpstr>
      <vt:lpstr>Forecast Timeline</vt:lpstr>
      <vt:lpstr>Dashboard</vt:lpstr>
      <vt:lpstr>Scenario Base</vt:lpstr>
      <vt:lpstr>Scenario Conservative</vt:lpstr>
      <vt:lpstr>Scenario Optimistic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